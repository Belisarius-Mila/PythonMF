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miloslavfalta/Desktop/PythonMF/ToBeTraining/"/>
    </mc:Choice>
  </mc:AlternateContent>
  <xr:revisionPtr revIDLastSave="0" documentId="8_{C976195A-E46F-A849-ACD9-06046045CE51}" xr6:coauthVersionLast="47" xr6:coauthVersionMax="47" xr10:uidLastSave="{00000000-0000-0000-0000-000000000000}"/>
  <bookViews>
    <workbookView xWindow="0" yWindow="500" windowWidth="28800" windowHeight="15720" activeTab="2" xr2:uid="{00000000-000D-0000-FFFF-FFFF00000000}"/>
  </bookViews>
  <sheets>
    <sheet name="DS" sheetId="21" r:id="rId1"/>
    <sheet name="TS+DOZP2" sheetId="30" r:id="rId2"/>
    <sheet name="CHB+DOZP4" sheetId="29" r:id="rId3"/>
    <sheet name="OS+DOZP1" sheetId="28" r:id="rId4"/>
    <sheet name="DOZP3" sheetId="27" r:id="rId5"/>
    <sheet name="ZDR" sheetId="26" r:id="rId6"/>
    <sheet name="THU" sheetId="22" r:id="rId7"/>
    <sheet name="EKO" sheetId="23" r:id="rId8"/>
    <sheet name="VED" sheetId="25" r:id="rId9"/>
    <sheet name="ŘED" sheetId="24" r:id="rId10"/>
  </sheets>
  <definedNames>
    <definedName name="_xlnm.Print_Titles" localSheetId="4">DOZP3!$1:$7</definedName>
    <definedName name="_xlnm.Print_Titles" localSheetId="0">DS!$1:$7</definedName>
    <definedName name="_xlnm.Print_Titles" localSheetId="7">EKO!$1:$7</definedName>
    <definedName name="_xlnm.Print_Titles" localSheetId="2">'CHB+DOZP4'!$1:$7</definedName>
    <definedName name="_xlnm.Print_Titles" localSheetId="3">'OS+DOZP1'!$1:$7</definedName>
    <definedName name="_xlnm.Print_Titles" localSheetId="9">ŘED!$1:$7</definedName>
    <definedName name="_xlnm.Print_Titles" localSheetId="6">THU!$1:$7</definedName>
    <definedName name="_xlnm.Print_Titles" localSheetId="1">'TS+DOZP2'!$1:$7</definedName>
    <definedName name="_xlnm.Print_Titles" localSheetId="8">VED!$1:$7</definedName>
    <definedName name="_xlnm.Print_Titles" localSheetId="5">ZDR!$1:$7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20" i="29" l="1"/>
  <c r="E20" i="29"/>
  <c r="BR20" i="29" s="1"/>
  <c r="BQ21" i="29"/>
  <c r="E21" i="29"/>
  <c r="BQ23" i="29"/>
  <c r="E23" i="29"/>
  <c r="BQ13" i="28"/>
  <c r="E13" i="28"/>
  <c r="BR13" i="28" s="1"/>
  <c r="BQ22" i="27"/>
  <c r="E22" i="27"/>
  <c r="BQ21" i="27"/>
  <c r="E21" i="27"/>
  <c r="BQ17" i="30"/>
  <c r="E17" i="30"/>
  <c r="BQ8" i="25"/>
  <c r="E8" i="25"/>
  <c r="BQ11" i="25"/>
  <c r="E11" i="25"/>
  <c r="BQ8" i="24"/>
  <c r="E8" i="24"/>
  <c r="BQ13" i="26"/>
  <c r="E13" i="26"/>
  <c r="BQ10" i="27"/>
  <c r="E10" i="27"/>
  <c r="BQ20" i="27"/>
  <c r="E20" i="27"/>
  <c r="BQ12" i="27"/>
  <c r="E12" i="27"/>
  <c r="BQ22" i="29"/>
  <c r="E22" i="29"/>
  <c r="BQ19" i="29"/>
  <c r="E19" i="29"/>
  <c r="BQ16" i="29"/>
  <c r="E16" i="29"/>
  <c r="BQ15" i="29"/>
  <c r="E15" i="29"/>
  <c r="BQ12" i="29"/>
  <c r="E12" i="29"/>
  <c r="BQ10" i="29"/>
  <c r="E10" i="29"/>
  <c r="BQ13" i="21"/>
  <c r="E13" i="21"/>
  <c r="BQ12" i="21"/>
  <c r="E12" i="21"/>
  <c r="BQ17" i="29"/>
  <c r="E17" i="29"/>
  <c r="BQ18" i="29"/>
  <c r="E18" i="29"/>
  <c r="BQ26" i="29"/>
  <c r="E26" i="29"/>
  <c r="BQ25" i="29"/>
  <c r="E25" i="29"/>
  <c r="BQ24" i="29"/>
  <c r="E24" i="29"/>
  <c r="BQ13" i="30"/>
  <c r="E13" i="30"/>
  <c r="BQ18" i="30"/>
  <c r="E18" i="30"/>
  <c r="BQ15" i="30"/>
  <c r="E15" i="30"/>
  <c r="BQ14" i="30"/>
  <c r="E14" i="30"/>
  <c r="BQ19" i="30"/>
  <c r="E19" i="30"/>
  <c r="BQ14" i="21"/>
  <c r="E14" i="21"/>
  <c r="BQ28" i="21"/>
  <c r="E28" i="21"/>
  <c r="BQ27" i="21"/>
  <c r="E27" i="21"/>
  <c r="BQ26" i="21"/>
  <c r="E26" i="21"/>
  <c r="BQ24" i="21"/>
  <c r="E24" i="21"/>
  <c r="BQ11" i="21"/>
  <c r="E11" i="21"/>
  <c r="BQ10" i="21"/>
  <c r="E10" i="21"/>
  <c r="BQ9" i="21"/>
  <c r="E9" i="21"/>
  <c r="BQ8" i="21"/>
  <c r="E8" i="21"/>
  <c r="BQ26" i="30"/>
  <c r="E26" i="30"/>
  <c r="BQ25" i="30"/>
  <c r="E25" i="30"/>
  <c r="BQ24" i="30"/>
  <c r="E24" i="30"/>
  <c r="BQ23" i="30"/>
  <c r="E23" i="30"/>
  <c r="BQ22" i="30"/>
  <c r="E22" i="30"/>
  <c r="BQ21" i="30"/>
  <c r="E21" i="30"/>
  <c r="BQ20" i="30"/>
  <c r="E20" i="30"/>
  <c r="BQ16" i="30"/>
  <c r="E16" i="30"/>
  <c r="BQ12" i="30"/>
  <c r="E12" i="30"/>
  <c r="BQ11" i="30"/>
  <c r="E11" i="30"/>
  <c r="BQ10" i="30"/>
  <c r="E10" i="30"/>
  <c r="BQ9" i="30"/>
  <c r="E9" i="30"/>
  <c r="BQ8" i="30"/>
  <c r="E8" i="30"/>
  <c r="BN6" i="30"/>
  <c r="BO6" i="30" s="1"/>
  <c r="BP6" i="30" s="1"/>
  <c r="BH6" i="30"/>
  <c r="BI6" i="30" s="1"/>
  <c r="BJ6" i="30" s="1"/>
  <c r="BK6" i="30" s="1"/>
  <c r="AX6" i="30"/>
  <c r="AY6" i="30" s="1"/>
  <c r="AZ6" i="30" s="1"/>
  <c r="BB6" i="30" s="1"/>
  <c r="BC6" i="30" s="1"/>
  <c r="BD6" i="30" s="1"/>
  <c r="BE6" i="30" s="1"/>
  <c r="AR6" i="30"/>
  <c r="AS6" i="30" s="1"/>
  <c r="AT6" i="30" s="1"/>
  <c r="AU6" i="30" s="1"/>
  <c r="AM6" i="30"/>
  <c r="AN6" i="30" s="1"/>
  <c r="AO6" i="30" s="1"/>
  <c r="AG6" i="30"/>
  <c r="AH6" i="30" s="1"/>
  <c r="AI6" i="30" s="1"/>
  <c r="AJ6" i="30" s="1"/>
  <c r="AC6" i="30"/>
  <c r="AD6" i="30" s="1"/>
  <c r="AE6" i="30" s="1"/>
  <c r="X6" i="30"/>
  <c r="Y6" i="30" s="1"/>
  <c r="Z6" i="30" s="1"/>
  <c r="H6" i="30"/>
  <c r="I6" i="30" s="1"/>
  <c r="J6" i="30" s="1"/>
  <c r="L6" i="30" s="1"/>
  <c r="M6" i="30" s="1"/>
  <c r="N6" i="30" s="1"/>
  <c r="O6" i="30" s="1"/>
  <c r="Q6" i="30" s="1"/>
  <c r="R6" i="30" s="1"/>
  <c r="S6" i="30" s="1"/>
  <c r="T6" i="30" s="1"/>
  <c r="U6" i="30" s="1"/>
  <c r="BQ14" i="29"/>
  <c r="E14" i="29"/>
  <c r="BQ13" i="29"/>
  <c r="E13" i="29"/>
  <c r="BQ11" i="29"/>
  <c r="E11" i="29"/>
  <c r="BQ9" i="29"/>
  <c r="E9" i="29"/>
  <c r="BQ8" i="29"/>
  <c r="E8" i="29"/>
  <c r="BN6" i="29"/>
  <c r="BO6" i="29" s="1"/>
  <c r="BP6" i="29" s="1"/>
  <c r="BH6" i="29"/>
  <c r="BI6" i="29" s="1"/>
  <c r="BJ6" i="29" s="1"/>
  <c r="BK6" i="29" s="1"/>
  <c r="AX6" i="29"/>
  <c r="AY6" i="29" s="1"/>
  <c r="AZ6" i="29" s="1"/>
  <c r="BB6" i="29" s="1"/>
  <c r="BC6" i="29" s="1"/>
  <c r="BD6" i="29" s="1"/>
  <c r="BE6" i="29" s="1"/>
  <c r="AR6" i="29"/>
  <c r="AS6" i="29" s="1"/>
  <c r="AT6" i="29" s="1"/>
  <c r="AU6" i="29" s="1"/>
  <c r="AM6" i="29"/>
  <c r="AN6" i="29" s="1"/>
  <c r="AO6" i="29" s="1"/>
  <c r="AG6" i="29"/>
  <c r="AH6" i="29" s="1"/>
  <c r="AI6" i="29" s="1"/>
  <c r="AJ6" i="29" s="1"/>
  <c r="AC6" i="29"/>
  <c r="AD6" i="29" s="1"/>
  <c r="AE6" i="29" s="1"/>
  <c r="X6" i="29"/>
  <c r="Y6" i="29" s="1"/>
  <c r="Z6" i="29" s="1"/>
  <c r="H6" i="29"/>
  <c r="I6" i="29" s="1"/>
  <c r="J6" i="29" s="1"/>
  <c r="L6" i="29" s="1"/>
  <c r="M6" i="29" s="1"/>
  <c r="N6" i="29" s="1"/>
  <c r="O6" i="29" s="1"/>
  <c r="Q6" i="29" s="1"/>
  <c r="R6" i="29" s="1"/>
  <c r="S6" i="29" s="1"/>
  <c r="T6" i="29" s="1"/>
  <c r="U6" i="29" s="1"/>
  <c r="BQ27" i="28"/>
  <c r="E27" i="28"/>
  <c r="BR27" i="28" s="1"/>
  <c r="BQ26" i="28"/>
  <c r="BR26" i="28" s="1"/>
  <c r="E26" i="28"/>
  <c r="BQ25" i="28"/>
  <c r="E25" i="28"/>
  <c r="BQ24" i="28"/>
  <c r="E24" i="28"/>
  <c r="BQ23" i="28"/>
  <c r="E23" i="28"/>
  <c r="BQ22" i="28"/>
  <c r="E22" i="28"/>
  <c r="BR22" i="28" s="1"/>
  <c r="BQ21" i="28"/>
  <c r="E21" i="28"/>
  <c r="BR21" i="28" s="1"/>
  <c r="BQ20" i="28"/>
  <c r="BR20" i="28" s="1"/>
  <c r="E20" i="28"/>
  <c r="BQ19" i="28"/>
  <c r="E19" i="28"/>
  <c r="BR19" i="28" s="1"/>
  <c r="BQ18" i="28"/>
  <c r="E18" i="28"/>
  <c r="BR18" i="28" s="1"/>
  <c r="BQ17" i="28"/>
  <c r="E17" i="28"/>
  <c r="BQ16" i="28"/>
  <c r="E16" i="28"/>
  <c r="BR16" i="28" s="1"/>
  <c r="BQ15" i="28"/>
  <c r="E15" i="28"/>
  <c r="BQ14" i="28"/>
  <c r="E14" i="28"/>
  <c r="BQ12" i="28"/>
  <c r="E12" i="28"/>
  <c r="BQ11" i="28"/>
  <c r="E11" i="28"/>
  <c r="BQ10" i="28"/>
  <c r="E10" i="28"/>
  <c r="BQ9" i="28"/>
  <c r="E9" i="28"/>
  <c r="BQ8" i="28"/>
  <c r="E8" i="28"/>
  <c r="BN6" i="28"/>
  <c r="BO6" i="28" s="1"/>
  <c r="BP6" i="28" s="1"/>
  <c r="BH6" i="28"/>
  <c r="BI6" i="28" s="1"/>
  <c r="BJ6" i="28" s="1"/>
  <c r="BK6" i="28" s="1"/>
  <c r="AX6" i="28"/>
  <c r="AY6" i="28" s="1"/>
  <c r="AZ6" i="28" s="1"/>
  <c r="BB6" i="28" s="1"/>
  <c r="BC6" i="28" s="1"/>
  <c r="BD6" i="28" s="1"/>
  <c r="BE6" i="28" s="1"/>
  <c r="AR6" i="28"/>
  <c r="AS6" i="28" s="1"/>
  <c r="AT6" i="28" s="1"/>
  <c r="AU6" i="28" s="1"/>
  <c r="AM6" i="28"/>
  <c r="AN6" i="28" s="1"/>
  <c r="AO6" i="28" s="1"/>
  <c r="AG6" i="28"/>
  <c r="AH6" i="28" s="1"/>
  <c r="AI6" i="28" s="1"/>
  <c r="AJ6" i="28" s="1"/>
  <c r="AC6" i="28"/>
  <c r="AD6" i="28" s="1"/>
  <c r="AE6" i="28" s="1"/>
  <c r="X6" i="28"/>
  <c r="Y6" i="28" s="1"/>
  <c r="Z6" i="28" s="1"/>
  <c r="H6" i="28"/>
  <c r="I6" i="28" s="1"/>
  <c r="J6" i="28" s="1"/>
  <c r="L6" i="28" s="1"/>
  <c r="M6" i="28" s="1"/>
  <c r="N6" i="28" s="1"/>
  <c r="O6" i="28" s="1"/>
  <c r="Q6" i="28" s="1"/>
  <c r="R6" i="28" s="1"/>
  <c r="S6" i="28" s="1"/>
  <c r="T6" i="28" s="1"/>
  <c r="U6" i="28" s="1"/>
  <c r="BQ25" i="27"/>
  <c r="E25" i="27"/>
  <c r="BQ24" i="27"/>
  <c r="E24" i="27"/>
  <c r="BQ23" i="27"/>
  <c r="E23" i="27"/>
  <c r="BQ19" i="27"/>
  <c r="E19" i="27"/>
  <c r="BQ18" i="27"/>
  <c r="E18" i="27"/>
  <c r="BQ17" i="27"/>
  <c r="E17" i="27"/>
  <c r="BQ16" i="27"/>
  <c r="E16" i="27"/>
  <c r="BQ15" i="27"/>
  <c r="E15" i="27"/>
  <c r="BQ14" i="27"/>
  <c r="E14" i="27"/>
  <c r="BQ13" i="27"/>
  <c r="E13" i="27"/>
  <c r="BQ11" i="27"/>
  <c r="E11" i="27"/>
  <c r="BQ9" i="27"/>
  <c r="E9" i="27"/>
  <c r="BQ8" i="27"/>
  <c r="E8" i="27"/>
  <c r="BN6" i="27"/>
  <c r="BO6" i="27" s="1"/>
  <c r="BP6" i="27" s="1"/>
  <c r="BH6" i="27"/>
  <c r="BI6" i="27" s="1"/>
  <c r="BJ6" i="27" s="1"/>
  <c r="BK6" i="27" s="1"/>
  <c r="AX6" i="27"/>
  <c r="AY6" i="27" s="1"/>
  <c r="AZ6" i="27" s="1"/>
  <c r="BB6" i="27" s="1"/>
  <c r="BC6" i="27" s="1"/>
  <c r="BD6" i="27" s="1"/>
  <c r="BE6" i="27" s="1"/>
  <c r="AR6" i="27"/>
  <c r="AS6" i="27" s="1"/>
  <c r="AT6" i="27" s="1"/>
  <c r="AU6" i="27" s="1"/>
  <c r="AM6" i="27"/>
  <c r="AN6" i="27" s="1"/>
  <c r="AO6" i="27" s="1"/>
  <c r="AG6" i="27"/>
  <c r="AH6" i="27" s="1"/>
  <c r="AI6" i="27" s="1"/>
  <c r="AJ6" i="27" s="1"/>
  <c r="AC6" i="27"/>
  <c r="AD6" i="27" s="1"/>
  <c r="AE6" i="27" s="1"/>
  <c r="X6" i="27"/>
  <c r="Y6" i="27" s="1"/>
  <c r="Z6" i="27" s="1"/>
  <c r="H6" i="27"/>
  <c r="I6" i="27" s="1"/>
  <c r="J6" i="27" s="1"/>
  <c r="L6" i="27" s="1"/>
  <c r="M6" i="27" s="1"/>
  <c r="N6" i="27" s="1"/>
  <c r="O6" i="27" s="1"/>
  <c r="Q6" i="27" s="1"/>
  <c r="R6" i="27" s="1"/>
  <c r="S6" i="27" s="1"/>
  <c r="T6" i="27" s="1"/>
  <c r="U6" i="27" s="1"/>
  <c r="BQ24" i="26"/>
  <c r="E24" i="26"/>
  <c r="BQ23" i="26"/>
  <c r="E23" i="26"/>
  <c r="BQ22" i="26"/>
  <c r="E22" i="26"/>
  <c r="BQ21" i="26"/>
  <c r="E21" i="26"/>
  <c r="BQ20" i="26"/>
  <c r="E20" i="26"/>
  <c r="BQ19" i="26"/>
  <c r="E19" i="26"/>
  <c r="BQ18" i="26"/>
  <c r="E18" i="26"/>
  <c r="BQ17" i="26"/>
  <c r="E17" i="26"/>
  <c r="BQ16" i="26"/>
  <c r="E16" i="26"/>
  <c r="BQ15" i="26"/>
  <c r="E15" i="26"/>
  <c r="BQ14" i="26"/>
  <c r="E14" i="26"/>
  <c r="BQ12" i="26"/>
  <c r="E12" i="26"/>
  <c r="BQ11" i="26"/>
  <c r="E11" i="26"/>
  <c r="BQ10" i="26"/>
  <c r="E10" i="26"/>
  <c r="BQ9" i="26"/>
  <c r="E9" i="26"/>
  <c r="BQ8" i="26"/>
  <c r="E8" i="26"/>
  <c r="BN6" i="26"/>
  <c r="BO6" i="26" s="1"/>
  <c r="BP6" i="26" s="1"/>
  <c r="BH6" i="26"/>
  <c r="BI6" i="26" s="1"/>
  <c r="BJ6" i="26" s="1"/>
  <c r="BK6" i="26" s="1"/>
  <c r="AX6" i="26"/>
  <c r="AY6" i="26" s="1"/>
  <c r="AZ6" i="26" s="1"/>
  <c r="BB6" i="26" s="1"/>
  <c r="BC6" i="26" s="1"/>
  <c r="BD6" i="26" s="1"/>
  <c r="BE6" i="26" s="1"/>
  <c r="AR6" i="26"/>
  <c r="AS6" i="26" s="1"/>
  <c r="AT6" i="26" s="1"/>
  <c r="AU6" i="26" s="1"/>
  <c r="AM6" i="26"/>
  <c r="AN6" i="26" s="1"/>
  <c r="AO6" i="26" s="1"/>
  <c r="AG6" i="26"/>
  <c r="AH6" i="26" s="1"/>
  <c r="AI6" i="26" s="1"/>
  <c r="AJ6" i="26" s="1"/>
  <c r="AC6" i="26"/>
  <c r="AD6" i="26" s="1"/>
  <c r="AE6" i="26" s="1"/>
  <c r="X6" i="26"/>
  <c r="Y6" i="26" s="1"/>
  <c r="Z6" i="26" s="1"/>
  <c r="H6" i="26"/>
  <c r="I6" i="26" s="1"/>
  <c r="J6" i="26" s="1"/>
  <c r="L6" i="26" s="1"/>
  <c r="M6" i="26" s="1"/>
  <c r="N6" i="26" s="1"/>
  <c r="O6" i="26" s="1"/>
  <c r="Q6" i="26" s="1"/>
  <c r="R6" i="26" s="1"/>
  <c r="S6" i="26" s="1"/>
  <c r="T6" i="26" s="1"/>
  <c r="U6" i="26" s="1"/>
  <c r="BQ25" i="25"/>
  <c r="E25" i="25"/>
  <c r="BQ24" i="25"/>
  <c r="E24" i="25"/>
  <c r="BQ23" i="25"/>
  <c r="E23" i="25"/>
  <c r="BQ22" i="25"/>
  <c r="E22" i="25"/>
  <c r="BQ21" i="25"/>
  <c r="E21" i="25"/>
  <c r="BQ20" i="25"/>
  <c r="E20" i="25"/>
  <c r="BQ19" i="25"/>
  <c r="E19" i="25"/>
  <c r="BQ18" i="25"/>
  <c r="E18" i="25"/>
  <c r="BQ17" i="25"/>
  <c r="E17" i="25"/>
  <c r="BQ16" i="25"/>
  <c r="E16" i="25"/>
  <c r="BQ15" i="25"/>
  <c r="E15" i="25"/>
  <c r="BQ14" i="25"/>
  <c r="E14" i="25"/>
  <c r="BQ13" i="25"/>
  <c r="E13" i="25"/>
  <c r="BQ12" i="25"/>
  <c r="E12" i="25"/>
  <c r="BQ10" i="25"/>
  <c r="E10" i="25"/>
  <c r="BQ9" i="25"/>
  <c r="E9" i="25"/>
  <c r="BN6" i="25"/>
  <c r="BO6" i="25" s="1"/>
  <c r="BP6" i="25" s="1"/>
  <c r="BH6" i="25"/>
  <c r="BI6" i="25" s="1"/>
  <c r="BJ6" i="25" s="1"/>
  <c r="BK6" i="25" s="1"/>
  <c r="AX6" i="25"/>
  <c r="AY6" i="25" s="1"/>
  <c r="AZ6" i="25" s="1"/>
  <c r="BB6" i="25" s="1"/>
  <c r="BC6" i="25" s="1"/>
  <c r="BD6" i="25" s="1"/>
  <c r="BE6" i="25" s="1"/>
  <c r="AR6" i="25"/>
  <c r="AS6" i="25" s="1"/>
  <c r="AT6" i="25" s="1"/>
  <c r="AU6" i="25" s="1"/>
  <c r="AM6" i="25"/>
  <c r="AN6" i="25" s="1"/>
  <c r="AO6" i="25" s="1"/>
  <c r="AG6" i="25"/>
  <c r="AH6" i="25" s="1"/>
  <c r="AI6" i="25" s="1"/>
  <c r="AJ6" i="25" s="1"/>
  <c r="AC6" i="25"/>
  <c r="AD6" i="25" s="1"/>
  <c r="AE6" i="25" s="1"/>
  <c r="X6" i="25"/>
  <c r="Y6" i="25" s="1"/>
  <c r="Z6" i="25" s="1"/>
  <c r="H6" i="25"/>
  <c r="I6" i="25" s="1"/>
  <c r="J6" i="25" s="1"/>
  <c r="L6" i="25" s="1"/>
  <c r="M6" i="25" s="1"/>
  <c r="N6" i="25" s="1"/>
  <c r="O6" i="25" s="1"/>
  <c r="Q6" i="25" s="1"/>
  <c r="R6" i="25" s="1"/>
  <c r="S6" i="25" s="1"/>
  <c r="T6" i="25" s="1"/>
  <c r="U6" i="25" s="1"/>
  <c r="BQ26" i="24"/>
  <c r="BR26" i="24" s="1"/>
  <c r="E26" i="24"/>
  <c r="BQ25" i="24"/>
  <c r="E25" i="24"/>
  <c r="BQ24" i="24"/>
  <c r="E24" i="24"/>
  <c r="BQ23" i="24"/>
  <c r="E23" i="24"/>
  <c r="BQ22" i="24"/>
  <c r="E22" i="24"/>
  <c r="BQ21" i="24"/>
  <c r="E21" i="24"/>
  <c r="BQ20" i="24"/>
  <c r="BR20" i="24" s="1"/>
  <c r="E20" i="24"/>
  <c r="BQ19" i="24"/>
  <c r="E19" i="24"/>
  <c r="BQ18" i="24"/>
  <c r="E18" i="24"/>
  <c r="BQ17" i="24"/>
  <c r="E17" i="24"/>
  <c r="BQ16" i="24"/>
  <c r="E16" i="24"/>
  <c r="BQ15" i="24"/>
  <c r="E15" i="24"/>
  <c r="BQ14" i="24"/>
  <c r="BR14" i="24" s="1"/>
  <c r="E14" i="24"/>
  <c r="BQ13" i="24"/>
  <c r="E13" i="24"/>
  <c r="BQ12" i="24"/>
  <c r="E12" i="24"/>
  <c r="BQ11" i="24"/>
  <c r="E11" i="24"/>
  <c r="BQ10" i="24"/>
  <c r="E10" i="24"/>
  <c r="BQ9" i="24"/>
  <c r="E9" i="24"/>
  <c r="BN6" i="24"/>
  <c r="BO6" i="24" s="1"/>
  <c r="BP6" i="24" s="1"/>
  <c r="BH6" i="24"/>
  <c r="BI6" i="24" s="1"/>
  <c r="BJ6" i="24" s="1"/>
  <c r="BK6" i="24" s="1"/>
  <c r="AX6" i="24"/>
  <c r="AY6" i="24" s="1"/>
  <c r="AZ6" i="24" s="1"/>
  <c r="BB6" i="24" s="1"/>
  <c r="BC6" i="24" s="1"/>
  <c r="BD6" i="24" s="1"/>
  <c r="BE6" i="24" s="1"/>
  <c r="AR6" i="24"/>
  <c r="AS6" i="24" s="1"/>
  <c r="AT6" i="24" s="1"/>
  <c r="AU6" i="24" s="1"/>
  <c r="AM6" i="24"/>
  <c r="AN6" i="24" s="1"/>
  <c r="AO6" i="24" s="1"/>
  <c r="AG6" i="24"/>
  <c r="AH6" i="24" s="1"/>
  <c r="AI6" i="24" s="1"/>
  <c r="AJ6" i="24" s="1"/>
  <c r="AC6" i="24"/>
  <c r="AD6" i="24" s="1"/>
  <c r="AE6" i="24" s="1"/>
  <c r="X6" i="24"/>
  <c r="Y6" i="24" s="1"/>
  <c r="Z6" i="24" s="1"/>
  <c r="H6" i="24"/>
  <c r="I6" i="24" s="1"/>
  <c r="J6" i="24" s="1"/>
  <c r="L6" i="24" s="1"/>
  <c r="M6" i="24" s="1"/>
  <c r="N6" i="24" s="1"/>
  <c r="O6" i="24" s="1"/>
  <c r="Q6" i="24" s="1"/>
  <c r="R6" i="24" s="1"/>
  <c r="S6" i="24" s="1"/>
  <c r="T6" i="24" s="1"/>
  <c r="U6" i="24" s="1"/>
  <c r="BQ26" i="23"/>
  <c r="E26" i="23"/>
  <c r="BQ25" i="23"/>
  <c r="E25" i="23"/>
  <c r="BQ24" i="23"/>
  <c r="E24" i="23"/>
  <c r="BR24" i="23" s="1"/>
  <c r="BQ23" i="23"/>
  <c r="E23" i="23"/>
  <c r="BQ22" i="23"/>
  <c r="E22" i="23"/>
  <c r="BQ21" i="23"/>
  <c r="E21" i="23"/>
  <c r="BR21" i="23" s="1"/>
  <c r="BQ20" i="23"/>
  <c r="E20" i="23"/>
  <c r="BQ19" i="23"/>
  <c r="E19" i="23"/>
  <c r="BQ18" i="23"/>
  <c r="E18" i="23"/>
  <c r="BQ17" i="23"/>
  <c r="E17" i="23"/>
  <c r="BQ16" i="23"/>
  <c r="E16" i="23"/>
  <c r="BQ15" i="23"/>
  <c r="E15" i="23"/>
  <c r="BR15" i="23" s="1"/>
  <c r="BQ14" i="23"/>
  <c r="E14" i="23"/>
  <c r="BQ13" i="23"/>
  <c r="E13" i="23"/>
  <c r="BQ12" i="23"/>
  <c r="E12" i="23"/>
  <c r="BQ11" i="23"/>
  <c r="E11" i="23"/>
  <c r="BQ10" i="23"/>
  <c r="E10" i="23"/>
  <c r="BQ9" i="23"/>
  <c r="E9" i="23"/>
  <c r="BQ8" i="23"/>
  <c r="E8" i="23"/>
  <c r="BN6" i="23"/>
  <c r="BO6" i="23" s="1"/>
  <c r="BP6" i="23" s="1"/>
  <c r="BH6" i="23"/>
  <c r="BI6" i="23" s="1"/>
  <c r="BJ6" i="23" s="1"/>
  <c r="BK6" i="23" s="1"/>
  <c r="AZ6" i="23"/>
  <c r="BB6" i="23" s="1"/>
  <c r="BC6" i="23" s="1"/>
  <c r="BD6" i="23" s="1"/>
  <c r="BE6" i="23" s="1"/>
  <c r="AY6" i="23"/>
  <c r="AX6" i="23"/>
  <c r="AR6" i="23"/>
  <c r="AS6" i="23" s="1"/>
  <c r="AT6" i="23" s="1"/>
  <c r="AU6" i="23" s="1"/>
  <c r="AM6" i="23"/>
  <c r="AN6" i="23" s="1"/>
  <c r="AO6" i="23" s="1"/>
  <c r="AH6" i="23"/>
  <c r="AI6" i="23" s="1"/>
  <c r="AJ6" i="23" s="1"/>
  <c r="AG6" i="23"/>
  <c r="AC6" i="23"/>
  <c r="AD6" i="23" s="1"/>
  <c r="AE6" i="23" s="1"/>
  <c r="X6" i="23"/>
  <c r="Y6" i="23" s="1"/>
  <c r="Z6" i="23" s="1"/>
  <c r="H6" i="23"/>
  <c r="I6" i="23" s="1"/>
  <c r="J6" i="23" s="1"/>
  <c r="L6" i="23" s="1"/>
  <c r="M6" i="23" s="1"/>
  <c r="N6" i="23" s="1"/>
  <c r="O6" i="23" s="1"/>
  <c r="Q6" i="23" s="1"/>
  <c r="R6" i="23" s="1"/>
  <c r="S6" i="23" s="1"/>
  <c r="T6" i="23" s="1"/>
  <c r="U6" i="23" s="1"/>
  <c r="BQ25" i="22"/>
  <c r="E25" i="22"/>
  <c r="BR25" i="22" s="1"/>
  <c r="BQ24" i="22"/>
  <c r="E24" i="22"/>
  <c r="BQ23" i="22"/>
  <c r="BR23" i="22" s="1"/>
  <c r="E23" i="22"/>
  <c r="BQ22" i="22"/>
  <c r="E22" i="22"/>
  <c r="BR22" i="22" s="1"/>
  <c r="BQ21" i="22"/>
  <c r="E21" i="22"/>
  <c r="BQ20" i="22"/>
  <c r="BR20" i="22" s="1"/>
  <c r="E20" i="22"/>
  <c r="BQ19" i="22"/>
  <c r="E19" i="22"/>
  <c r="BR19" i="22" s="1"/>
  <c r="BQ18" i="22"/>
  <c r="E18" i="22"/>
  <c r="BQ17" i="22"/>
  <c r="E17" i="22"/>
  <c r="BQ16" i="22"/>
  <c r="E16" i="22"/>
  <c r="BR16" i="22" s="1"/>
  <c r="BQ15" i="22"/>
  <c r="E15" i="22"/>
  <c r="BQ14" i="22"/>
  <c r="E14" i="22"/>
  <c r="BQ13" i="22"/>
  <c r="E13" i="22"/>
  <c r="BQ12" i="22"/>
  <c r="E12" i="22"/>
  <c r="BQ11" i="22"/>
  <c r="E11" i="22"/>
  <c r="BQ10" i="22"/>
  <c r="E10" i="22"/>
  <c r="BQ9" i="22"/>
  <c r="E9" i="22"/>
  <c r="BQ8" i="22"/>
  <c r="E8" i="22"/>
  <c r="BN6" i="22"/>
  <c r="BO6" i="22" s="1"/>
  <c r="BP6" i="22" s="1"/>
  <c r="BH6" i="22"/>
  <c r="BI6" i="22" s="1"/>
  <c r="BJ6" i="22" s="1"/>
  <c r="BK6" i="22" s="1"/>
  <c r="AX6" i="22"/>
  <c r="AY6" i="22" s="1"/>
  <c r="AZ6" i="22" s="1"/>
  <c r="BB6" i="22" s="1"/>
  <c r="BC6" i="22" s="1"/>
  <c r="BD6" i="22" s="1"/>
  <c r="BE6" i="22" s="1"/>
  <c r="AR6" i="22"/>
  <c r="AS6" i="22" s="1"/>
  <c r="AT6" i="22" s="1"/>
  <c r="AU6" i="22" s="1"/>
  <c r="AM6" i="22"/>
  <c r="AN6" i="22" s="1"/>
  <c r="AO6" i="22" s="1"/>
  <c r="AG6" i="22"/>
  <c r="AH6" i="22" s="1"/>
  <c r="AI6" i="22" s="1"/>
  <c r="AJ6" i="22" s="1"/>
  <c r="AC6" i="22"/>
  <c r="AD6" i="22" s="1"/>
  <c r="AE6" i="22" s="1"/>
  <c r="X6" i="22"/>
  <c r="Y6" i="22" s="1"/>
  <c r="Z6" i="22" s="1"/>
  <c r="H6" i="22"/>
  <c r="I6" i="22" s="1"/>
  <c r="J6" i="22" s="1"/>
  <c r="L6" i="22" s="1"/>
  <c r="M6" i="22" s="1"/>
  <c r="N6" i="22" s="1"/>
  <c r="O6" i="22" s="1"/>
  <c r="Q6" i="22" s="1"/>
  <c r="R6" i="22" s="1"/>
  <c r="S6" i="22" s="1"/>
  <c r="T6" i="22" s="1"/>
  <c r="U6" i="22" s="1"/>
  <c r="BQ30" i="21"/>
  <c r="E30" i="21"/>
  <c r="BQ29" i="21"/>
  <c r="E29" i="21"/>
  <c r="BQ25" i="21"/>
  <c r="E25" i="21"/>
  <c r="BQ23" i="21"/>
  <c r="E23" i="21"/>
  <c r="BQ22" i="21"/>
  <c r="E22" i="21"/>
  <c r="BQ21" i="21"/>
  <c r="E21" i="21"/>
  <c r="BQ20" i="21"/>
  <c r="E20" i="21"/>
  <c r="BQ19" i="21"/>
  <c r="E19" i="21"/>
  <c r="BQ18" i="21"/>
  <c r="E18" i="21"/>
  <c r="BQ17" i="21"/>
  <c r="E17" i="21"/>
  <c r="BQ16" i="21"/>
  <c r="E16" i="21"/>
  <c r="BQ15" i="21"/>
  <c r="E15" i="21"/>
  <c r="BN6" i="21"/>
  <c r="BO6" i="21" s="1"/>
  <c r="BP6" i="21" s="1"/>
  <c r="BH6" i="21"/>
  <c r="BI6" i="21" s="1"/>
  <c r="BJ6" i="21" s="1"/>
  <c r="BK6" i="21" s="1"/>
  <c r="AX6" i="21"/>
  <c r="AY6" i="21" s="1"/>
  <c r="AZ6" i="21" s="1"/>
  <c r="BB6" i="21" s="1"/>
  <c r="BC6" i="21" s="1"/>
  <c r="BD6" i="21" s="1"/>
  <c r="BE6" i="21" s="1"/>
  <c r="AR6" i="21"/>
  <c r="AS6" i="21" s="1"/>
  <c r="AT6" i="21" s="1"/>
  <c r="AU6" i="21" s="1"/>
  <c r="AM6" i="21"/>
  <c r="AN6" i="21" s="1"/>
  <c r="AO6" i="21" s="1"/>
  <c r="AG6" i="21"/>
  <c r="AH6" i="21" s="1"/>
  <c r="AI6" i="21" s="1"/>
  <c r="AJ6" i="21" s="1"/>
  <c r="AC6" i="21"/>
  <c r="AD6" i="21" s="1"/>
  <c r="AE6" i="21" s="1"/>
  <c r="X6" i="21"/>
  <c r="Y6" i="21" s="1"/>
  <c r="Z6" i="21" s="1"/>
  <c r="H6" i="21"/>
  <c r="I6" i="21" s="1"/>
  <c r="J6" i="21" s="1"/>
  <c r="L6" i="21" s="1"/>
  <c r="M6" i="21" s="1"/>
  <c r="N6" i="21" s="1"/>
  <c r="O6" i="21" s="1"/>
  <c r="Q6" i="21" s="1"/>
  <c r="R6" i="21" s="1"/>
  <c r="S6" i="21" s="1"/>
  <c r="T6" i="21" s="1"/>
  <c r="U6" i="21" s="1"/>
  <c r="BR21" i="29" l="1"/>
  <c r="BR23" i="29"/>
  <c r="BR19" i="29"/>
  <c r="BR21" i="27"/>
  <c r="BR22" i="27"/>
  <c r="BR9" i="23"/>
  <c r="BR15" i="28"/>
  <c r="BR24" i="28"/>
  <c r="BR8" i="24"/>
  <c r="BR12" i="28"/>
  <c r="BR11" i="28"/>
  <c r="BR8" i="28"/>
  <c r="BR10" i="28"/>
  <c r="BR17" i="30"/>
  <c r="BR17" i="28"/>
  <c r="BR23" i="28"/>
  <c r="BR11" i="22"/>
  <c r="BR12" i="23"/>
  <c r="BR18" i="23"/>
  <c r="BR8" i="25"/>
  <c r="BR11" i="25"/>
  <c r="BR23" i="25"/>
  <c r="BR22" i="26"/>
  <c r="BR13" i="26"/>
  <c r="BR24" i="26"/>
  <c r="BR17" i="26"/>
  <c r="BR18" i="26"/>
  <c r="BR10" i="26"/>
  <c r="BR20" i="26"/>
  <c r="BR16" i="26"/>
  <c r="BR11" i="26"/>
  <c r="BR21" i="26"/>
  <c r="BR20" i="27"/>
  <c r="BR10" i="27"/>
  <c r="BR12" i="27"/>
  <c r="BR23" i="27"/>
  <c r="BR17" i="27"/>
  <c r="BR22" i="29"/>
  <c r="BR12" i="29"/>
  <c r="BR15" i="29"/>
  <c r="BR16" i="29"/>
  <c r="BR10" i="29"/>
  <c r="BR9" i="21"/>
  <c r="BR12" i="21"/>
  <c r="BR13" i="21"/>
  <c r="BR17" i="29"/>
  <c r="BR18" i="29"/>
  <c r="BR24" i="29"/>
  <c r="BR26" i="29"/>
  <c r="BR25" i="29"/>
  <c r="BR18" i="30"/>
  <c r="BR13" i="30"/>
  <c r="BR15" i="30"/>
  <c r="BR14" i="30"/>
  <c r="BR17" i="22"/>
  <c r="BR8" i="22"/>
  <c r="BR8" i="30"/>
  <c r="BR19" i="30"/>
  <c r="BR21" i="30"/>
  <c r="BR11" i="30"/>
  <c r="BR24" i="30"/>
  <c r="BR26" i="21"/>
  <c r="BR14" i="21"/>
  <c r="BR27" i="21"/>
  <c r="BR28" i="21"/>
  <c r="BR11" i="21"/>
  <c r="BR24" i="21"/>
  <c r="BR21" i="21"/>
  <c r="BR10" i="21"/>
  <c r="BR25" i="21"/>
  <c r="BR8" i="21"/>
  <c r="BR17" i="21"/>
  <c r="BR11" i="29"/>
  <c r="BR14" i="28"/>
  <c r="BR8" i="27"/>
  <c r="BR8" i="26"/>
  <c r="BR13" i="25"/>
  <c r="BR17" i="24"/>
  <c r="BR23" i="24"/>
  <c r="BR11" i="24"/>
  <c r="BR14" i="22"/>
  <c r="BR13" i="22"/>
  <c r="BR9" i="22"/>
  <c r="BR9" i="30"/>
  <c r="BR12" i="30"/>
  <c r="BR22" i="30"/>
  <c r="BR25" i="30"/>
  <c r="BR10" i="30"/>
  <c r="BR16" i="30"/>
  <c r="BR20" i="30"/>
  <c r="BR23" i="30"/>
  <c r="BR26" i="30"/>
  <c r="BR14" i="29"/>
  <c r="BR8" i="29"/>
  <c r="BR9" i="29"/>
  <c r="BR13" i="29"/>
  <c r="BR25" i="28"/>
  <c r="BR9" i="28"/>
  <c r="BR9" i="27"/>
  <c r="BR13" i="27"/>
  <c r="BR15" i="27"/>
  <c r="BR18" i="27"/>
  <c r="BR24" i="27"/>
  <c r="BR11" i="27"/>
  <c r="BR14" i="27"/>
  <c r="BR16" i="27"/>
  <c r="BR19" i="27"/>
  <c r="BR25" i="27"/>
  <c r="BR14" i="26"/>
  <c r="BR12" i="26"/>
  <c r="BR15" i="26"/>
  <c r="BR23" i="26"/>
  <c r="BR9" i="26"/>
  <c r="BR19" i="26"/>
  <c r="BR17" i="25"/>
  <c r="BR10" i="25"/>
  <c r="BR15" i="25"/>
  <c r="BR18" i="25"/>
  <c r="BR21" i="25"/>
  <c r="BR24" i="25"/>
  <c r="BR20" i="25"/>
  <c r="BR9" i="25"/>
  <c r="BR12" i="25"/>
  <c r="BR16" i="25"/>
  <c r="BR19" i="25"/>
  <c r="BR22" i="25"/>
  <c r="BR25" i="25"/>
  <c r="BR14" i="25"/>
  <c r="BR9" i="24"/>
  <c r="BR12" i="24"/>
  <c r="BR15" i="24"/>
  <c r="BR18" i="24"/>
  <c r="BR21" i="24"/>
  <c r="BR24" i="24"/>
  <c r="BR10" i="24"/>
  <c r="BR13" i="24"/>
  <c r="BR16" i="24"/>
  <c r="BR19" i="24"/>
  <c r="BR22" i="24"/>
  <c r="BR25" i="24"/>
  <c r="BR10" i="23"/>
  <c r="BR13" i="23"/>
  <c r="BR16" i="23"/>
  <c r="BR19" i="23"/>
  <c r="BR22" i="23"/>
  <c r="BR25" i="23"/>
  <c r="BR8" i="23"/>
  <c r="BR11" i="23"/>
  <c r="BR14" i="23"/>
  <c r="BR17" i="23"/>
  <c r="BR20" i="23"/>
  <c r="BR23" i="23"/>
  <c r="BR26" i="23"/>
  <c r="BR10" i="22"/>
  <c r="BR12" i="22"/>
  <c r="BR15" i="22"/>
  <c r="BR18" i="22"/>
  <c r="BR21" i="22"/>
  <c r="BR24" i="22"/>
  <c r="BR15" i="21"/>
  <c r="BR18" i="21"/>
  <c r="BR20" i="21"/>
  <c r="BR22" i="21"/>
  <c r="BR29" i="21"/>
  <c r="BR16" i="21"/>
  <c r="BR19" i="21"/>
  <c r="BR23" i="21"/>
  <c r="BR30" i="21"/>
</calcChain>
</file>

<file path=xl/sharedStrings.xml><?xml version="1.0" encoding="utf-8"?>
<sst xmlns="http://schemas.openxmlformats.org/spreadsheetml/2006/main" count="928" uniqueCount="156">
  <si>
    <t xml:space="preserve">Dodatková dovolená se poskytuje za skutečně odpracované hodiny. Roční výměra se poměrně krátí za neodpracované hodiny (velmi zjednodušená definice). Nárok se tudíž může během roku měnit (nemoc, ošetřovné...), jednou za 3 měsíce zde bude zkontrolováno a upraveno. Na výplatní pásce bude změna patrná ihned. </t>
  </si>
  <si>
    <t xml:space="preserve">Vyznačte číslicí počet hodin čerpání  dovolené v příslušném kalendářním týdnu. </t>
  </si>
  <si>
    <t xml:space="preserve">Příjmení, jméno       </t>
  </si>
  <si>
    <t xml:space="preserve">Dovolená </t>
  </si>
  <si>
    <t>Leden</t>
  </si>
  <si>
    <t xml:space="preserve">Únor    </t>
  </si>
  <si>
    <t xml:space="preserve">Březen                 </t>
  </si>
  <si>
    <t>Duben</t>
  </si>
  <si>
    <t xml:space="preserve">Květen         </t>
  </si>
  <si>
    <t>Červen</t>
  </si>
  <si>
    <t>Červenec</t>
  </si>
  <si>
    <t>Srpen</t>
  </si>
  <si>
    <t>Září</t>
  </si>
  <si>
    <t>Říjen</t>
  </si>
  <si>
    <t>Listopad</t>
  </si>
  <si>
    <t>Zůst.</t>
  </si>
  <si>
    <t>S</t>
  </si>
  <si>
    <t xml:space="preserve">týden </t>
  </si>
  <si>
    <t>týden</t>
  </si>
  <si>
    <t>2.</t>
  </si>
  <si>
    <t>3.</t>
  </si>
  <si>
    <t>4.</t>
  </si>
  <si>
    <t>5.</t>
  </si>
  <si>
    <t>6.</t>
  </si>
  <si>
    <t>7.</t>
  </si>
  <si>
    <t>8.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</si>
  <si>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</si>
  <si>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</si>
  <si>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</si>
  <si>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</si>
  <si>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</si>
  <si>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</si>
  <si>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</si>
  <si>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</si>
  <si>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</si>
  <si>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</si>
  <si>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</si>
  <si>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</si>
  <si>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</si>
  <si>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</si>
  <si>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</si>
  <si>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</si>
  <si>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</si>
  <si>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</si>
  <si>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</si>
  <si>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</si>
  <si>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</si>
  <si>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</si>
  <si>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</si>
  <si>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</si>
  <si>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</si>
  <si>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</si>
  <si>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37.</t>
  </si>
  <si>
    <t>38.</t>
  </si>
  <si>
    <t>39.</t>
  </si>
  <si>
    <t>40.</t>
  </si>
  <si>
    <t>41.</t>
  </si>
  <si>
    <t>42.</t>
  </si>
  <si>
    <t>43.</t>
  </si>
  <si>
    <t>45.</t>
  </si>
  <si>
    <t>46.</t>
  </si>
  <si>
    <t>47.</t>
  </si>
  <si>
    <t>48.</t>
  </si>
  <si>
    <t>50.</t>
  </si>
  <si>
    <t>51.</t>
  </si>
  <si>
    <t>52.</t>
  </si>
  <si>
    <t>mezisoučet</t>
  </si>
  <si>
    <t>Femiak R.</t>
  </si>
  <si>
    <t>Janebová A.</t>
  </si>
  <si>
    <t>Jiránková L.</t>
  </si>
  <si>
    <t>Rochlová J.</t>
  </si>
  <si>
    <t>Svárovská M.</t>
  </si>
  <si>
    <t xml:space="preserve"> </t>
  </si>
  <si>
    <t>9.</t>
  </si>
  <si>
    <t>Černá L.</t>
  </si>
  <si>
    <t>Gniewek A.</t>
  </si>
  <si>
    <t>Kolínská P.</t>
  </si>
  <si>
    <t>Křepelková M.</t>
  </si>
  <si>
    <t>Majerová L.</t>
  </si>
  <si>
    <t>Mizerová J.</t>
  </si>
  <si>
    <t xml:space="preserve">Nazarenko V. </t>
  </si>
  <si>
    <t>Nováková I.</t>
  </si>
  <si>
    <t>Rudolfová J.</t>
  </si>
  <si>
    <t>Záhoráková M.</t>
  </si>
  <si>
    <t>Šafránková D.</t>
  </si>
  <si>
    <t>Fryčová B.</t>
  </si>
  <si>
    <t>Grgurinovic E.</t>
  </si>
  <si>
    <t>Braborcová E.</t>
  </si>
  <si>
    <t>Holubová I.</t>
  </si>
  <si>
    <t>Lengyelová S.</t>
  </si>
  <si>
    <t>Zedníčková J.</t>
  </si>
  <si>
    <t>Bobrova-Kulakova I.</t>
  </si>
  <si>
    <t>Kuncová S.</t>
  </si>
  <si>
    <t>Samešová N.</t>
  </si>
  <si>
    <t>Toman D.</t>
  </si>
  <si>
    <t>Zlámaný P.</t>
  </si>
  <si>
    <t>Bartoňová P.</t>
  </si>
  <si>
    <t xml:space="preserve">Daliborová J. </t>
  </si>
  <si>
    <t>Eliášová J.</t>
  </si>
  <si>
    <t>Ketnerová K.</t>
  </si>
  <si>
    <t>Šlamborová P.</t>
  </si>
  <si>
    <t>Veselý M.</t>
  </si>
  <si>
    <t>Vidnerová A.</t>
  </si>
  <si>
    <t>Havlůjová I.</t>
  </si>
  <si>
    <t>Odehnalová M.</t>
  </si>
  <si>
    <t>Teres N.</t>
  </si>
  <si>
    <t>Čížková H.</t>
  </si>
  <si>
    <t>Budinská S.</t>
  </si>
  <si>
    <t>Fojtíková P.</t>
  </si>
  <si>
    <t>Hartová M.</t>
  </si>
  <si>
    <t>Kosková L.</t>
  </si>
  <si>
    <t>Zemanová R.</t>
  </si>
  <si>
    <t>Kufr J.</t>
  </si>
  <si>
    <t>Lukavec D.</t>
  </si>
  <si>
    <t>Máslík J.</t>
  </si>
  <si>
    <t>Šíma Jiří</t>
  </si>
  <si>
    <t>Zahajský P.</t>
  </si>
  <si>
    <t>Zahajský dom.</t>
  </si>
  <si>
    <t>Folprechtová M.</t>
  </si>
  <si>
    <t xml:space="preserve">Hodboďová M. </t>
  </si>
  <si>
    <t>Nováková M.</t>
  </si>
  <si>
    <t>Ohanjan H.</t>
  </si>
  <si>
    <t xml:space="preserve">Yurkina K. </t>
  </si>
  <si>
    <t xml:space="preserve">44. </t>
  </si>
  <si>
    <t>Kottermanová K.</t>
  </si>
  <si>
    <t>Šelestjaková J.</t>
  </si>
  <si>
    <t>Švarcová V.</t>
  </si>
  <si>
    <t xml:space="preserve">Janele M. </t>
  </si>
  <si>
    <t>Váňová J.</t>
  </si>
  <si>
    <t>Letnikova V.</t>
  </si>
  <si>
    <t>Jeřábková D.</t>
  </si>
  <si>
    <t>Nazirzadahová T.</t>
  </si>
  <si>
    <t>Bornová D.</t>
  </si>
  <si>
    <t xml:space="preserve">Falta M. </t>
  </si>
  <si>
    <t>Rozvrh čerpání dovolené na rok 2026</t>
  </si>
  <si>
    <t>2026 dodatková</t>
  </si>
  <si>
    <t>53.</t>
  </si>
  <si>
    <t>Kozáků L.</t>
  </si>
  <si>
    <t>Prosinec</t>
  </si>
  <si>
    <t xml:space="preserve">Landová L. </t>
  </si>
  <si>
    <t>Bílková M.</t>
  </si>
  <si>
    <t xml:space="preserve">Bedřichová L. </t>
  </si>
  <si>
    <t>Daňková J.</t>
  </si>
  <si>
    <t xml:space="preserve">Nezbedová J. </t>
  </si>
  <si>
    <t>Hrdličková H. Dis</t>
  </si>
  <si>
    <t>Horák D. Mgr.</t>
  </si>
  <si>
    <t xml:space="preserve">Druzyk A., </t>
  </si>
  <si>
    <t>Brejchová I.</t>
  </si>
  <si>
    <t xml:space="preserve">Rybka P. </t>
  </si>
  <si>
    <t>Kuchtová M.</t>
  </si>
  <si>
    <t>Petrák J.</t>
  </si>
  <si>
    <t xml:space="preserve">Bradáčová T. </t>
  </si>
  <si>
    <t>Kellerová T.</t>
  </si>
  <si>
    <t>Křížová M.</t>
  </si>
  <si>
    <t xml:space="preserve">Sudek J. </t>
  </si>
  <si>
    <t>Zvěřinová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</si>
</sst>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2"/>
      <name val="Formata"/>
      <charset val="238"/>
    </font>
    <font>
      <sz val="18"/>
      <name val="Arial"/>
      <family val="2"/>
      <charset val="238"/>
    </font>
    <font>
      <b/>
      <sz val="20"/>
      <name val="Arial"/>
      <family val="2"/>
      <charset val="238"/>
    </font>
    <font>
      <sz val="8"/>
      <name val="Arial"/>
      <family val="2"/>
      <charset val="238"/>
    </font>
    <font>
      <sz val="22"/>
      <name val="Arial"/>
      <family val="2"/>
      <charset val="238"/>
    </font>
    <font>
      <b/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sz val="8"/>
      <name val="Symbol"/>
      <family val="1"/>
      <charset val="2"/>
    </font>
    <font>
      <sz val="13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sz val="8"/>
      <color rgb="FFFF0000"/>
      <name val="Arial"/>
      <family val="2"/>
      <charset val="238"/>
    </font>
    <font>
      <sz val="8"/>
      <color theme="1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9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2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0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/>
      <right style="double">
        <color indexed="8"/>
      </right>
      <top style="thin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hair">
        <color indexed="8"/>
      </left>
      <right style="hair">
        <color indexed="64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64"/>
      </right>
      <top style="thin">
        <color indexed="8"/>
      </top>
      <bottom style="medium">
        <color indexed="64"/>
      </bottom>
      <diagonal/>
    </border>
    <border>
      <left/>
      <right style="double">
        <color indexed="8"/>
      </right>
      <top style="thin">
        <color indexed="8"/>
      </top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64"/>
      </bottom>
      <diagonal/>
    </border>
    <border>
      <left style="hair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hair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double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8"/>
      </right>
      <top style="medium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8"/>
      </right>
      <top style="medium">
        <color indexed="64"/>
      </top>
      <bottom style="thin">
        <color indexed="64"/>
      </bottom>
      <diagonal/>
    </border>
    <border>
      <left style="hair">
        <color indexed="8"/>
      </left>
      <right/>
      <top style="medium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8"/>
      </left>
      <right style="hair">
        <color indexed="64"/>
      </right>
      <top/>
      <bottom style="medium">
        <color indexed="64"/>
      </bottom>
      <diagonal/>
    </border>
    <border>
      <left/>
      <right style="double">
        <color indexed="8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hair">
        <color indexed="8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/>
      <top/>
      <bottom style="medium">
        <color indexed="64"/>
      </bottom>
      <diagonal/>
    </border>
    <border>
      <left style="hair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 style="thin">
        <color indexed="8"/>
      </top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342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3" fillId="0" borderId="0" xfId="0" applyFont="1"/>
    <xf numFmtId="16" fontId="3" fillId="0" borderId="11" xfId="0" applyNumberFormat="1" applyFont="1" applyBorder="1" applyAlignment="1">
      <alignment horizontal="center" textRotation="90"/>
    </xf>
    <xf numFmtId="0" fontId="3" fillId="0" borderId="0" xfId="0" applyFont="1" applyAlignment="1">
      <alignment textRotation="90"/>
    </xf>
    <xf numFmtId="0" fontId="3" fillId="0" borderId="8" xfId="0" applyFont="1" applyBorder="1" applyAlignment="1">
      <alignment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1" fontId="3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textRotation="90"/>
    </xf>
    <xf numFmtId="0" fontId="3" fillId="0" borderId="25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16" xfId="0" applyFont="1" applyFill="1" applyBorder="1" applyAlignment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/>
    </xf>
    <xf numFmtId="0" fontId="11" fillId="5" borderId="16" xfId="0" applyFont="1" applyFill="1" applyBorder="1" applyAlignment="1">
      <alignment vertical="center"/>
    </xf>
    <xf numFmtId="0" fontId="11" fillId="5" borderId="19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16" fontId="3" fillId="0" borderId="10" xfId="0" applyNumberFormat="1" applyFont="1" applyBorder="1" applyAlignment="1">
      <alignment horizontal="center" textRotation="90"/>
    </xf>
    <xf numFmtId="1" fontId="3" fillId="0" borderId="34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0" fontId="3" fillId="5" borderId="34" xfId="0" applyFont="1" applyFill="1" applyBorder="1" applyAlignment="1">
      <alignment vertical="center"/>
    </xf>
    <xf numFmtId="0" fontId="3" fillId="5" borderId="30" xfId="0" applyFont="1" applyFill="1" applyBorder="1" applyAlignment="1">
      <alignment vertical="center"/>
    </xf>
    <xf numFmtId="0" fontId="3" fillId="5" borderId="38" xfId="0" applyFont="1" applyFill="1" applyBorder="1" applyAlignment="1">
      <alignment vertical="center"/>
    </xf>
    <xf numFmtId="0" fontId="3" fillId="5" borderId="39" xfId="0" applyFont="1" applyFill="1" applyBorder="1" applyAlignment="1">
      <alignment vertical="center"/>
    </xf>
    <xf numFmtId="0" fontId="3" fillId="5" borderId="40" xfId="0" applyFont="1" applyFill="1" applyBorder="1" applyAlignment="1">
      <alignment vertical="center"/>
    </xf>
    <xf numFmtId="0" fontId="3" fillId="5" borderId="41" xfId="0" applyFont="1" applyFill="1" applyBorder="1" applyAlignment="1">
      <alignment vertical="center"/>
    </xf>
    <xf numFmtId="0" fontId="3" fillId="5" borderId="42" xfId="0" applyFont="1" applyFill="1" applyBorder="1" applyAlignment="1">
      <alignment vertical="center"/>
    </xf>
    <xf numFmtId="0" fontId="3" fillId="5" borderId="35" xfId="0" applyFont="1" applyFill="1" applyBorder="1" applyAlignment="1">
      <alignment vertical="center"/>
    </xf>
    <xf numFmtId="0" fontId="3" fillId="3" borderId="34" xfId="0" applyFont="1" applyFill="1" applyBorder="1" applyAlignment="1">
      <alignment vertical="center"/>
    </xf>
    <xf numFmtId="1" fontId="3" fillId="0" borderId="43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textRotation="90"/>
    </xf>
    <xf numFmtId="0" fontId="3" fillId="0" borderId="55" xfId="0" applyFont="1" applyBorder="1" applyAlignment="1">
      <alignment horizontal="center" vertical="center" textRotation="90"/>
    </xf>
    <xf numFmtId="0" fontId="3" fillId="0" borderId="56" xfId="0" applyFont="1" applyBorder="1" applyAlignment="1">
      <alignment horizontal="center" vertical="center" textRotation="90"/>
    </xf>
    <xf numFmtId="16" fontId="3" fillId="0" borderId="0" xfId="0" applyNumberFormat="1" applyFont="1" applyAlignment="1">
      <alignment horizontal="center" textRotation="90"/>
    </xf>
    <xf numFmtId="0" fontId="3" fillId="6" borderId="7" xfId="0" applyFont="1" applyFill="1" applyBorder="1" applyAlignment="1">
      <alignment vertical="center"/>
    </xf>
    <xf numFmtId="0" fontId="3" fillId="6" borderId="15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/>
    </xf>
    <xf numFmtId="0" fontId="3" fillId="6" borderId="17" xfId="0" applyFont="1" applyFill="1" applyBorder="1" applyAlignment="1">
      <alignment vertical="center"/>
    </xf>
    <xf numFmtId="0" fontId="3" fillId="6" borderId="18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6" borderId="19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5" borderId="64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vertical="center"/>
    </xf>
    <xf numFmtId="0" fontId="3" fillId="6" borderId="64" xfId="0" applyFont="1" applyFill="1" applyBorder="1" applyAlignment="1">
      <alignment vertical="center"/>
    </xf>
    <xf numFmtId="0" fontId="3" fillId="7" borderId="22" xfId="0" applyFont="1" applyFill="1" applyBorder="1" applyAlignment="1">
      <alignment vertical="center"/>
    </xf>
    <xf numFmtId="1" fontId="3" fillId="0" borderId="51" xfId="0" applyNumberFormat="1" applyFont="1" applyBorder="1" applyAlignment="1">
      <alignment horizontal="center" vertical="center"/>
    </xf>
    <xf numFmtId="1" fontId="3" fillId="0" borderId="52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0" fontId="3" fillId="5" borderId="51" xfId="0" applyFont="1" applyFill="1" applyBorder="1" applyAlignment="1">
      <alignment vertical="center"/>
    </xf>
    <xf numFmtId="0" fontId="3" fillId="5" borderId="55" xfId="0" applyFont="1" applyFill="1" applyBorder="1" applyAlignment="1">
      <alignment vertical="center"/>
    </xf>
    <xf numFmtId="0" fontId="3" fillId="5" borderId="65" xfId="0" applyFont="1" applyFill="1" applyBorder="1" applyAlignment="1">
      <alignment vertical="center"/>
    </xf>
    <xf numFmtId="0" fontId="3" fillId="5" borderId="66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3" fillId="5" borderId="56" xfId="0" applyFont="1" applyFill="1" applyBorder="1" applyAlignment="1">
      <alignment vertical="center"/>
    </xf>
    <xf numFmtId="0" fontId="3" fillId="5" borderId="67" xfId="0" applyFont="1" applyFill="1" applyBorder="1" applyAlignment="1">
      <alignment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vertical="center"/>
    </xf>
    <xf numFmtId="0" fontId="3" fillId="3" borderId="51" xfId="0" applyFont="1" applyFill="1" applyBorder="1" applyAlignment="1">
      <alignment vertical="center"/>
    </xf>
    <xf numFmtId="1" fontId="3" fillId="0" borderId="58" xfId="0" applyNumberFormat="1" applyFont="1" applyBorder="1" applyAlignment="1">
      <alignment horizontal="center" vertical="center"/>
    </xf>
    <xf numFmtId="0" fontId="11" fillId="5" borderId="34" xfId="0" applyFont="1" applyFill="1" applyBorder="1" applyAlignment="1">
      <alignment vertical="center"/>
    </xf>
    <xf numFmtId="0" fontId="11" fillId="5" borderId="30" xfId="0" applyFont="1" applyFill="1" applyBorder="1" applyAlignment="1">
      <alignment vertical="center"/>
    </xf>
    <xf numFmtId="0" fontId="11" fillId="5" borderId="39" xfId="0" applyFont="1" applyFill="1" applyBorder="1" applyAlignment="1">
      <alignment vertical="center"/>
    </xf>
    <xf numFmtId="0" fontId="11" fillId="5" borderId="42" xfId="0" applyFont="1" applyFill="1" applyBorder="1" applyAlignment="1">
      <alignment vertical="center"/>
    </xf>
    <xf numFmtId="1" fontId="3" fillId="0" borderId="68" xfId="0" applyNumberFormat="1" applyFont="1" applyBorder="1" applyAlignment="1">
      <alignment horizontal="center" vertical="center"/>
    </xf>
    <xf numFmtId="1" fontId="3" fillId="0" borderId="41" xfId="0" applyNumberFormat="1" applyFont="1" applyBorder="1" applyAlignment="1">
      <alignment horizontal="center" vertical="center"/>
    </xf>
    <xf numFmtId="1" fontId="3" fillId="0" borderId="69" xfId="0" applyNumberFormat="1" applyFont="1" applyBorder="1" applyAlignment="1">
      <alignment horizontal="center" vertical="center"/>
    </xf>
    <xf numFmtId="0" fontId="3" fillId="0" borderId="70" xfId="0" applyFont="1" applyBorder="1" applyAlignment="1">
      <alignment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71" xfId="0" applyNumberFormat="1" applyFont="1" applyBorder="1" applyAlignment="1">
      <alignment horizontal="center" vertical="center"/>
    </xf>
    <xf numFmtId="1" fontId="3" fillId="0" borderId="72" xfId="0" applyNumberFormat="1" applyFont="1" applyBorder="1" applyAlignment="1">
      <alignment horizontal="center" vertical="center"/>
    </xf>
    <xf numFmtId="1" fontId="3" fillId="0" borderId="73" xfId="0" applyNumberFormat="1" applyFont="1" applyBorder="1" applyAlignment="1">
      <alignment horizontal="center" vertical="center"/>
    </xf>
    <xf numFmtId="0" fontId="3" fillId="5" borderId="48" xfId="0" applyFont="1" applyFill="1" applyBorder="1" applyAlignment="1">
      <alignment vertical="center"/>
    </xf>
    <xf numFmtId="0" fontId="3" fillId="5" borderId="74" xfId="0" applyFont="1" applyFill="1" applyBorder="1" applyAlignment="1">
      <alignment vertical="center"/>
    </xf>
    <xf numFmtId="0" fontId="3" fillId="5" borderId="75" xfId="0" applyFont="1" applyFill="1" applyBorder="1" applyAlignment="1">
      <alignment vertical="center"/>
    </xf>
    <xf numFmtId="0" fontId="3" fillId="5" borderId="76" xfId="0" applyFont="1" applyFill="1" applyBorder="1" applyAlignment="1">
      <alignment vertical="center"/>
    </xf>
    <xf numFmtId="0" fontId="3" fillId="5" borderId="77" xfId="0" applyFont="1" applyFill="1" applyBorder="1" applyAlignment="1">
      <alignment vertical="center"/>
    </xf>
    <xf numFmtId="0" fontId="3" fillId="5" borderId="78" xfId="0" applyFont="1" applyFill="1" applyBorder="1" applyAlignment="1">
      <alignment vertical="center"/>
    </xf>
    <xf numFmtId="0" fontId="3" fillId="5" borderId="74" xfId="0" applyFont="1" applyFill="1" applyBorder="1" applyAlignment="1">
      <alignment horizontal="center" vertical="center"/>
    </xf>
    <xf numFmtId="0" fontId="3" fillId="5" borderId="79" xfId="0" applyFont="1" applyFill="1" applyBorder="1" applyAlignment="1">
      <alignment vertical="center"/>
    </xf>
    <xf numFmtId="0" fontId="3" fillId="5" borderId="71" xfId="0" applyFont="1" applyFill="1" applyBorder="1" applyAlignment="1">
      <alignment vertical="center"/>
    </xf>
    <xf numFmtId="0" fontId="3" fillId="3" borderId="48" xfId="0" applyFont="1" applyFill="1" applyBorder="1" applyAlignment="1">
      <alignment vertical="center"/>
    </xf>
    <xf numFmtId="1" fontId="3" fillId="0" borderId="50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" fontId="3" fillId="0" borderId="80" xfId="0" applyNumberFormat="1" applyFont="1" applyBorder="1" applyAlignment="1">
      <alignment horizontal="center" vertical="center"/>
    </xf>
    <xf numFmtId="1" fontId="3" fillId="0" borderId="81" xfId="0" applyNumberFormat="1" applyFont="1" applyBorder="1" applyAlignment="1">
      <alignment horizontal="center" vertical="center"/>
    </xf>
    <xf numFmtId="1" fontId="3" fillId="0" borderId="82" xfId="0" applyNumberFormat="1" applyFont="1" applyBorder="1" applyAlignment="1">
      <alignment horizontal="center" vertical="center"/>
    </xf>
    <xf numFmtId="1" fontId="3" fillId="0" borderId="83" xfId="0" applyNumberFormat="1" applyFont="1" applyBorder="1" applyAlignment="1">
      <alignment horizontal="center" vertical="center"/>
    </xf>
    <xf numFmtId="0" fontId="3" fillId="5" borderId="80" xfId="0" applyFont="1" applyFill="1" applyBorder="1" applyAlignment="1">
      <alignment vertical="center"/>
    </xf>
    <xf numFmtId="0" fontId="3" fillId="5" borderId="84" xfId="0" applyFont="1" applyFill="1" applyBorder="1" applyAlignment="1">
      <alignment vertical="center"/>
    </xf>
    <xf numFmtId="0" fontId="3" fillId="5" borderId="85" xfId="0" applyFont="1" applyFill="1" applyBorder="1" applyAlignment="1">
      <alignment vertical="center"/>
    </xf>
    <xf numFmtId="0" fontId="3" fillId="5" borderId="86" xfId="0" applyFont="1" applyFill="1" applyBorder="1" applyAlignment="1">
      <alignment vertical="center"/>
    </xf>
    <xf numFmtId="0" fontId="3" fillId="5" borderId="87" xfId="0" applyFont="1" applyFill="1" applyBorder="1" applyAlignment="1">
      <alignment vertical="center"/>
    </xf>
    <xf numFmtId="0" fontId="3" fillId="5" borderId="88" xfId="0" applyFont="1" applyFill="1" applyBorder="1" applyAlignment="1">
      <alignment vertical="center"/>
    </xf>
    <xf numFmtId="0" fontId="3" fillId="5" borderId="89" xfId="0" applyFont="1" applyFill="1" applyBorder="1" applyAlignment="1">
      <alignment vertical="center"/>
    </xf>
    <xf numFmtId="0" fontId="3" fillId="3" borderId="80" xfId="0" applyFont="1" applyFill="1" applyBorder="1" applyAlignment="1">
      <alignment vertical="center"/>
    </xf>
    <xf numFmtId="1" fontId="3" fillId="0" borderId="90" xfId="0" applyNumberFormat="1" applyFont="1" applyBorder="1" applyAlignment="1">
      <alignment horizontal="center" vertical="center"/>
    </xf>
    <xf numFmtId="0" fontId="3" fillId="3" borderId="91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vertical="center"/>
    </xf>
    <xf numFmtId="0" fontId="3" fillId="8" borderId="15" xfId="0" applyFont="1" applyFill="1" applyBorder="1" applyAlignment="1">
      <alignment vertical="center"/>
    </xf>
    <xf numFmtId="0" fontId="3" fillId="8" borderId="16" xfId="0" applyFont="1" applyFill="1" applyBorder="1" applyAlignment="1">
      <alignment vertical="center"/>
    </xf>
    <xf numFmtId="0" fontId="3" fillId="8" borderId="17" xfId="0" applyFont="1" applyFill="1" applyBorder="1" applyAlignment="1">
      <alignment vertical="center"/>
    </xf>
    <xf numFmtId="0" fontId="3" fillId="8" borderId="18" xfId="0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0" fontId="3" fillId="8" borderId="19" xfId="0" applyFont="1" applyFill="1" applyBorder="1" applyAlignment="1">
      <alignment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vertical="center"/>
    </xf>
    <xf numFmtId="0" fontId="3" fillId="9" borderId="10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25" xfId="0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0" fontId="3" fillId="7" borderId="28" xfId="0" applyFont="1" applyFill="1" applyBorder="1" applyAlignment="1">
      <alignment vertical="center"/>
    </xf>
    <xf numFmtId="0" fontId="3" fillId="7" borderId="92" xfId="0" applyFont="1" applyFill="1" applyBorder="1" applyAlignment="1">
      <alignment vertical="center"/>
    </xf>
    <xf numFmtId="0" fontId="3" fillId="10" borderId="10" xfId="0" applyFont="1" applyFill="1" applyBorder="1" applyAlignment="1">
      <alignment vertical="center"/>
    </xf>
    <xf numFmtId="0" fontId="3" fillId="10" borderId="15" xfId="0" applyFont="1" applyFill="1" applyBorder="1" applyAlignment="1">
      <alignment vertical="center"/>
    </xf>
    <xf numFmtId="0" fontId="3" fillId="10" borderId="7" xfId="0" applyFont="1" applyFill="1" applyBorder="1" applyAlignment="1">
      <alignment vertical="center"/>
    </xf>
    <xf numFmtId="0" fontId="3" fillId="10" borderId="16" xfId="0" applyFont="1" applyFill="1" applyBorder="1" applyAlignment="1">
      <alignment vertical="center"/>
    </xf>
    <xf numFmtId="0" fontId="3" fillId="10" borderId="17" xfId="0" applyFont="1" applyFill="1" applyBorder="1" applyAlignment="1">
      <alignment vertical="center"/>
    </xf>
    <xf numFmtId="0" fontId="3" fillId="10" borderId="18" xfId="0" applyFont="1" applyFill="1" applyBorder="1" applyAlignment="1">
      <alignment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0" fontId="3" fillId="12" borderId="39" xfId="0" applyFont="1" applyFill="1" applyBorder="1" applyAlignment="1">
      <alignment vertical="center"/>
    </xf>
    <xf numFmtId="0" fontId="3" fillId="12" borderId="30" xfId="0" applyFont="1" applyFill="1" applyBorder="1" applyAlignment="1">
      <alignment vertical="center"/>
    </xf>
    <xf numFmtId="0" fontId="3" fillId="12" borderId="38" xfId="0" applyFont="1" applyFill="1" applyBorder="1" applyAlignment="1">
      <alignment vertical="center"/>
    </xf>
    <xf numFmtId="0" fontId="3" fillId="12" borderId="15" xfId="0" applyFont="1" applyFill="1" applyBorder="1" applyAlignment="1">
      <alignment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vertical="center"/>
    </xf>
    <xf numFmtId="0" fontId="3" fillId="12" borderId="17" xfId="0" applyFont="1" applyFill="1" applyBorder="1" applyAlignment="1">
      <alignment vertical="center"/>
    </xf>
    <xf numFmtId="0" fontId="3" fillId="12" borderId="18" xfId="0" applyFont="1" applyFill="1" applyBorder="1" applyAlignment="1">
      <alignment vertical="center"/>
    </xf>
    <xf numFmtId="0" fontId="3" fillId="12" borderId="55" xfId="0" applyFont="1" applyFill="1" applyBorder="1" applyAlignment="1">
      <alignment vertical="center"/>
    </xf>
    <xf numFmtId="0" fontId="3" fillId="12" borderId="56" xfId="0" applyFont="1" applyFill="1" applyBorder="1" applyAlignment="1">
      <alignment vertical="center"/>
    </xf>
    <xf numFmtId="1" fontId="3" fillId="0" borderId="93" xfId="0" applyNumberFormat="1" applyFont="1" applyBorder="1" applyAlignment="1">
      <alignment horizontal="center" vertical="center"/>
    </xf>
    <xf numFmtId="1" fontId="3" fillId="0" borderId="94" xfId="0" applyNumberFormat="1" applyFont="1" applyBorder="1" applyAlignment="1">
      <alignment horizontal="center" vertical="center"/>
    </xf>
    <xf numFmtId="1" fontId="3" fillId="0" borderId="95" xfId="0" applyNumberFormat="1" applyFont="1" applyBorder="1" applyAlignment="1">
      <alignment horizontal="center" vertical="center"/>
    </xf>
    <xf numFmtId="0" fontId="3" fillId="13" borderId="10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8" xfId="0" applyFont="1" applyFill="1" applyBorder="1" applyAlignment="1">
      <alignment vertical="center"/>
    </xf>
    <xf numFmtId="0" fontId="3" fillId="13" borderId="74" xfId="0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30" xfId="0" applyFont="1" applyFill="1" applyBorder="1" applyAlignment="1">
      <alignment vertical="center"/>
    </xf>
    <xf numFmtId="0" fontId="3" fillId="13" borderId="51" xfId="0" applyFont="1" applyFill="1" applyBorder="1" applyAlignment="1">
      <alignment vertical="center"/>
    </xf>
    <xf numFmtId="0" fontId="3" fillId="13" borderId="55" xfId="0" applyFont="1" applyFill="1" applyBorder="1" applyAlignment="1">
      <alignment vertical="center"/>
    </xf>
    <xf numFmtId="0" fontId="3" fillId="13" borderId="80" xfId="0" applyFont="1" applyFill="1" applyBorder="1" applyAlignment="1">
      <alignment vertical="center"/>
    </xf>
    <xf numFmtId="0" fontId="3" fillId="13" borderId="84" xfId="0" applyFont="1" applyFill="1" applyBorder="1" applyAlignment="1">
      <alignment vertical="center"/>
    </xf>
    <xf numFmtId="0" fontId="3" fillId="6" borderId="15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vertical="center"/>
    </xf>
    <xf numFmtId="0" fontId="3" fillId="11" borderId="16" xfId="0" applyFont="1" applyFill="1" applyBorder="1" applyAlignment="1">
      <alignment horizontal="center" vertical="center"/>
    </xf>
    <xf numFmtId="49" fontId="3" fillId="5" borderId="55" xfId="0" applyNumberFormat="1" applyFont="1" applyFill="1" applyBorder="1" applyAlignment="1">
      <alignment vertical="center"/>
    </xf>
    <xf numFmtId="0" fontId="3" fillId="12" borderId="35" xfId="0" applyFont="1" applyFill="1" applyBorder="1" applyAlignment="1">
      <alignment vertical="center"/>
    </xf>
    <xf numFmtId="0" fontId="3" fillId="12" borderId="34" xfId="0" applyFont="1" applyFill="1" applyBorder="1" applyAlignment="1">
      <alignment vertical="center"/>
    </xf>
    <xf numFmtId="0" fontId="3" fillId="11" borderId="18" xfId="0" applyFont="1" applyFill="1" applyBorder="1" applyAlignment="1">
      <alignment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55" xfId="0" applyFont="1" applyFill="1" applyBorder="1" applyAlignment="1">
      <alignment vertical="center"/>
    </xf>
    <xf numFmtId="0" fontId="3" fillId="11" borderId="12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12" borderId="10" xfId="0" applyFont="1" applyFill="1" applyBorder="1" applyAlignment="1">
      <alignment vertical="center"/>
    </xf>
    <xf numFmtId="0" fontId="3" fillId="0" borderId="76" xfId="0" applyFont="1" applyBorder="1" applyAlignment="1">
      <alignment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42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11" borderId="10" xfId="0" applyFont="1" applyFill="1" applyBorder="1" applyAlignment="1">
      <alignment vertical="center"/>
    </xf>
    <xf numFmtId="0" fontId="3" fillId="11" borderId="12" xfId="0" applyFont="1" applyFill="1" applyBorder="1" applyAlignment="1">
      <alignment vertical="center"/>
    </xf>
    <xf numFmtId="0" fontId="3" fillId="11" borderId="87" xfId="0" applyFont="1" applyFill="1" applyBorder="1" applyAlignment="1">
      <alignment vertical="center"/>
    </xf>
    <xf numFmtId="0" fontId="3" fillId="11" borderId="84" xfId="0" applyFont="1" applyFill="1" applyBorder="1" applyAlignment="1">
      <alignment vertical="center"/>
    </xf>
    <xf numFmtId="0" fontId="3" fillId="11" borderId="84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vertical="center"/>
    </xf>
    <xf numFmtId="0" fontId="3" fillId="11" borderId="89" xfId="0" applyFont="1" applyFill="1" applyBorder="1" applyAlignment="1">
      <alignment vertical="center"/>
    </xf>
    <xf numFmtId="0" fontId="3" fillId="0" borderId="85" xfId="0" applyFont="1" applyBorder="1" applyAlignment="1">
      <alignment vertical="center"/>
    </xf>
    <xf numFmtId="0" fontId="3" fillId="11" borderId="79" xfId="0" applyFont="1" applyFill="1" applyBorder="1" applyAlignment="1">
      <alignment vertical="center"/>
    </xf>
    <xf numFmtId="0" fontId="3" fillId="11" borderId="74" xfId="0" applyFont="1" applyFill="1" applyBorder="1" applyAlignment="1">
      <alignment vertical="center"/>
    </xf>
    <xf numFmtId="0" fontId="3" fillId="11" borderId="30" xfId="0" applyFont="1" applyFill="1" applyBorder="1" applyAlignment="1">
      <alignment vertical="center"/>
    </xf>
    <xf numFmtId="0" fontId="3" fillId="11" borderId="35" xfId="0" applyFont="1" applyFill="1" applyBorder="1" applyAlignment="1">
      <alignment vertical="center"/>
    </xf>
    <xf numFmtId="0" fontId="3" fillId="11" borderId="34" xfId="0" applyFont="1" applyFill="1" applyBorder="1" applyAlignment="1">
      <alignment vertical="center"/>
    </xf>
    <xf numFmtId="0" fontId="3" fillId="11" borderId="51" xfId="0" applyFont="1" applyFill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3" fillId="0" borderId="5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5" xfId="0" applyFont="1" applyBorder="1" applyAlignment="1">
      <alignment vertical="center"/>
    </xf>
    <xf numFmtId="0" fontId="3" fillId="11" borderId="7" xfId="0" applyFont="1" applyFill="1" applyBorder="1" applyAlignment="1">
      <alignment vertical="center"/>
    </xf>
    <xf numFmtId="0" fontId="12" fillId="5" borderId="15" xfId="0" applyFont="1" applyFill="1" applyBorder="1" applyAlignment="1">
      <alignment vertical="center"/>
    </xf>
    <xf numFmtId="0" fontId="12" fillId="5" borderId="12" xfId="0" applyFont="1" applyFill="1" applyBorder="1" applyAlignment="1">
      <alignment vertical="center"/>
    </xf>
    <xf numFmtId="0" fontId="3" fillId="14" borderId="15" xfId="0" applyFont="1" applyFill="1" applyBorder="1" applyAlignment="1">
      <alignment vertical="center"/>
    </xf>
    <xf numFmtId="0" fontId="3" fillId="14" borderId="7" xfId="0" applyFont="1" applyFill="1" applyBorder="1" applyAlignment="1">
      <alignment vertical="center"/>
    </xf>
    <xf numFmtId="0" fontId="3" fillId="14" borderId="16" xfId="0" applyFont="1" applyFill="1" applyBorder="1" applyAlignment="1">
      <alignment vertical="center"/>
    </xf>
    <xf numFmtId="0" fontId="3" fillId="14" borderId="17" xfId="0" applyFont="1" applyFill="1" applyBorder="1" applyAlignment="1">
      <alignment vertical="center"/>
    </xf>
    <xf numFmtId="0" fontId="3" fillId="14" borderId="18" xfId="0" applyFont="1" applyFill="1" applyBorder="1" applyAlignment="1">
      <alignment vertical="center"/>
    </xf>
    <xf numFmtId="0" fontId="3" fillId="14" borderId="10" xfId="0" applyFont="1" applyFill="1" applyBorder="1" applyAlignment="1">
      <alignment vertical="center"/>
    </xf>
    <xf numFmtId="0" fontId="3" fillId="14" borderId="19" xfId="0" applyFont="1" applyFill="1" applyBorder="1" applyAlignment="1">
      <alignment vertical="center"/>
    </xf>
    <xf numFmtId="0" fontId="3" fillId="14" borderId="12" xfId="0" applyFont="1" applyFill="1" applyBorder="1" applyAlignment="1">
      <alignment vertical="center"/>
    </xf>
    <xf numFmtId="0" fontId="3" fillId="14" borderId="10" xfId="0" applyFont="1" applyFill="1" applyBorder="1" applyAlignment="1">
      <alignment horizontal="center" vertical="center"/>
    </xf>
    <xf numFmtId="0" fontId="3" fillId="11" borderId="42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11" borderId="0" xfId="0" applyFont="1" applyFill="1"/>
    <xf numFmtId="0" fontId="3" fillId="0" borderId="16" xfId="0" applyFont="1" applyBorder="1" applyAlignment="1">
      <alignment vertical="center"/>
    </xf>
    <xf numFmtId="1" fontId="3" fillId="12" borderId="18" xfId="0" applyNumberFormat="1" applyFont="1" applyFill="1" applyBorder="1" applyAlignment="1">
      <alignment horizontal="center" vertical="center"/>
    </xf>
    <xf numFmtId="1" fontId="3" fillId="12" borderId="2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6" borderId="84" xfId="0" applyFont="1" applyFill="1" applyBorder="1" applyAlignment="1">
      <alignment vertical="center"/>
    </xf>
    <xf numFmtId="0" fontId="3" fillId="0" borderId="84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87" xfId="0" applyFont="1" applyBorder="1" applyAlignment="1">
      <alignment vertical="center"/>
    </xf>
    <xf numFmtId="0" fontId="3" fillId="0" borderId="88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0" fontId="3" fillId="0" borderId="89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80" xfId="0" applyFont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0" borderId="75" xfId="0" applyFont="1" applyBorder="1" applyAlignment="1">
      <alignment vertical="center"/>
    </xf>
    <xf numFmtId="0" fontId="3" fillId="13" borderId="38" xfId="0" applyFont="1" applyFill="1" applyBorder="1" applyAlignment="1">
      <alignment vertical="center"/>
    </xf>
    <xf numFmtId="0" fontId="3" fillId="13" borderId="75" xfId="0" applyFont="1" applyFill="1" applyBorder="1" applyAlignment="1">
      <alignment vertical="center"/>
    </xf>
    <xf numFmtId="0" fontId="3" fillId="13" borderId="74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vertical="center"/>
    </xf>
    <xf numFmtId="0" fontId="3" fillId="13" borderId="65" xfId="0" applyFont="1" applyFill="1" applyBorder="1" applyAlignment="1">
      <alignment vertical="center"/>
    </xf>
    <xf numFmtId="0" fontId="3" fillId="13" borderId="85" xfId="0" applyFont="1" applyFill="1" applyBorder="1" applyAlignment="1">
      <alignment vertical="center"/>
    </xf>
    <xf numFmtId="0" fontId="3" fillId="13" borderId="84" xfId="0" applyFont="1" applyFill="1" applyBorder="1" applyAlignment="1">
      <alignment horizontal="center" vertical="center"/>
    </xf>
    <xf numFmtId="1" fontId="3" fillId="12" borderId="88" xfId="0" applyNumberFormat="1" applyFont="1" applyFill="1" applyBorder="1" applyAlignment="1">
      <alignment horizontal="center" vertical="center"/>
    </xf>
    <xf numFmtId="1" fontId="3" fillId="12" borderId="96" xfId="0" applyNumberFormat="1" applyFont="1" applyFill="1" applyBorder="1" applyAlignment="1">
      <alignment horizontal="center" vertical="center"/>
    </xf>
    <xf numFmtId="0" fontId="3" fillId="6" borderId="80" xfId="0" applyFont="1" applyFill="1" applyBorder="1" applyAlignment="1">
      <alignment vertical="center"/>
    </xf>
    <xf numFmtId="0" fontId="3" fillId="6" borderId="85" xfId="0" applyFont="1" applyFill="1" applyBorder="1" applyAlignment="1">
      <alignment vertical="center"/>
    </xf>
    <xf numFmtId="1" fontId="3" fillId="0" borderId="97" xfId="0" applyNumberFormat="1" applyFont="1" applyBorder="1" applyAlignment="1">
      <alignment horizontal="center" vertical="center"/>
    </xf>
    <xf numFmtId="0" fontId="3" fillId="13" borderId="93" xfId="0" applyFont="1" applyFill="1" applyBorder="1" applyAlignment="1">
      <alignment vertical="center"/>
    </xf>
    <xf numFmtId="0" fontId="3" fillId="13" borderId="98" xfId="0" applyFont="1" applyFill="1" applyBorder="1" applyAlignment="1">
      <alignment vertical="center"/>
    </xf>
    <xf numFmtId="0" fontId="3" fillId="5" borderId="99" xfId="0" applyFont="1" applyFill="1" applyBorder="1" applyAlignment="1">
      <alignment vertical="center"/>
    </xf>
    <xf numFmtId="0" fontId="3" fillId="5" borderId="98" xfId="0" applyFont="1" applyFill="1" applyBorder="1" applyAlignment="1">
      <alignment vertical="center"/>
    </xf>
    <xf numFmtId="0" fontId="3" fillId="0" borderId="98" xfId="0" applyFont="1" applyBorder="1" applyAlignment="1">
      <alignment vertical="center"/>
    </xf>
    <xf numFmtId="0" fontId="3" fillId="11" borderId="98" xfId="0" applyFont="1" applyFill="1" applyBorder="1" applyAlignment="1">
      <alignment vertical="center"/>
    </xf>
    <xf numFmtId="0" fontId="3" fillId="5" borderId="100" xfId="0" applyFont="1" applyFill="1" applyBorder="1" applyAlignment="1">
      <alignment vertical="center"/>
    </xf>
    <xf numFmtId="0" fontId="3" fillId="5" borderId="101" xfId="0" applyFont="1" applyFill="1" applyBorder="1" applyAlignment="1">
      <alignment vertical="center"/>
    </xf>
    <xf numFmtId="0" fontId="3" fillId="5" borderId="102" xfId="0" applyFont="1" applyFill="1" applyBorder="1" applyAlignment="1">
      <alignment vertical="center"/>
    </xf>
    <xf numFmtId="0" fontId="3" fillId="5" borderId="93" xfId="0" applyFont="1" applyFill="1" applyBorder="1" applyAlignment="1">
      <alignment vertical="center"/>
    </xf>
    <xf numFmtId="0" fontId="3" fillId="5" borderId="98" xfId="0" applyFont="1" applyFill="1" applyBorder="1" applyAlignment="1">
      <alignment horizontal="center" vertical="center"/>
    </xf>
    <xf numFmtId="0" fontId="3" fillId="5" borderId="100" xfId="0" applyFont="1" applyFill="1" applyBorder="1" applyAlignment="1">
      <alignment horizontal="center" vertical="center"/>
    </xf>
    <xf numFmtId="0" fontId="3" fillId="5" borderId="103" xfId="0" applyFont="1" applyFill="1" applyBorder="1" applyAlignment="1">
      <alignment horizontal="center" vertical="center"/>
    </xf>
    <xf numFmtId="0" fontId="3" fillId="3" borderId="93" xfId="0" applyFont="1" applyFill="1" applyBorder="1" applyAlignment="1">
      <alignment vertical="center"/>
    </xf>
    <xf numFmtId="0" fontId="3" fillId="13" borderId="16" xfId="0" applyFont="1" applyFill="1" applyBorder="1" applyAlignment="1">
      <alignment vertical="center"/>
    </xf>
    <xf numFmtId="1" fontId="3" fillId="12" borderId="12" xfId="0" applyNumberFormat="1" applyFont="1" applyFill="1" applyBorder="1" applyAlignment="1">
      <alignment horizontal="center" vertical="center"/>
    </xf>
    <xf numFmtId="1" fontId="3" fillId="12" borderId="10" xfId="0" applyNumberFormat="1" applyFont="1" applyFill="1" applyBorder="1" applyAlignment="1">
      <alignment horizontal="center" vertical="center"/>
    </xf>
    <xf numFmtId="0" fontId="3" fillId="13" borderId="99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5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51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52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53" xfId="0" applyFont="1" applyBorder="1" applyAlignment="1">
      <alignment horizontal="center" vertical="center" textRotation="90"/>
    </xf>
    <xf numFmtId="164" fontId="7" fillId="0" borderId="6" xfId="0" applyNumberFormat="1" applyFont="1" applyBorder="1" applyAlignment="1">
      <alignment horizontal="center" vertical="center"/>
    </xf>
    <xf numFmtId="164" fontId="7" fillId="0" borderId="5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" fontId="3" fillId="0" borderId="10" xfId="0" applyNumberFormat="1" applyFont="1" applyBorder="1" applyAlignment="1">
      <alignment horizontal="center" textRotation="90"/>
    </xf>
    <xf numFmtId="16" fontId="3" fillId="0" borderId="34" xfId="0" applyNumberFormat="1" applyFont="1" applyBorder="1" applyAlignment="1">
      <alignment horizontal="center" textRotation="90"/>
    </xf>
    <xf numFmtId="0" fontId="3" fillId="0" borderId="59" xfId="0" applyFont="1" applyBorder="1" applyAlignment="1">
      <alignment horizontal="center" vertical="center" textRotation="90"/>
    </xf>
    <xf numFmtId="0" fontId="3" fillId="0" borderId="63" xfId="0" applyFont="1" applyBorder="1" applyAlignment="1">
      <alignment horizontal="center" vertical="center" textRotation="90"/>
    </xf>
    <xf numFmtId="0" fontId="3" fillId="0" borderId="56" xfId="0" applyFont="1" applyBorder="1" applyAlignment="1">
      <alignment horizontal="center" vertical="center" textRotation="90"/>
    </xf>
    <xf numFmtId="0" fontId="3" fillId="0" borderId="57" xfId="0" applyFont="1" applyBorder="1" applyAlignment="1">
      <alignment horizontal="center" vertical="center" textRotation="90"/>
    </xf>
  </cellXfs>
  <cellStyles count="1">
    <cellStyle name="Normální" xfId="0" builtinId="0"/>
  </cellStyles>
  <dxfs count="30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1383-4FA0-4A70-8EC5-7887F697D7F5}">
  <dimension ref="A1:BT30"/>
  <sheetViews>
    <sheetView zoomScaleNormal="100" workbookViewId="0">
      <pane ySplit="7" topLeftCell="A8" activePane="bottomLeft" state="frozen"/>
      <selection pane="bottomLeft" activeCell="K16" sqref="K16:O20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2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2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2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2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2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2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2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2" s="17" customFormat="1" ht="21" customHeight="1">
      <c r="A8" s="7" t="s">
        <v>141</v>
      </c>
      <c r="B8" s="8">
        <v>18</v>
      </c>
      <c r="C8" s="19">
        <v>200</v>
      </c>
      <c r="D8" s="21">
        <v>40</v>
      </c>
      <c r="E8" s="11">
        <f t="shared" ref="E8:E14" si="12">SUM(B8+C8+D8)</f>
        <v>258</v>
      </c>
      <c r="F8" s="186"/>
      <c r="G8" s="187"/>
      <c r="H8" s="187"/>
      <c r="I8" s="187"/>
      <c r="J8" s="187"/>
      <c r="K8" s="279"/>
      <c r="L8" s="187"/>
      <c r="M8" s="187"/>
      <c r="N8" s="187"/>
      <c r="O8" s="187"/>
      <c r="P8" s="36"/>
      <c r="Q8" s="35"/>
      <c r="R8" s="35"/>
      <c r="S8" s="35"/>
      <c r="T8" s="35"/>
      <c r="U8" s="37">
        <v>16</v>
      </c>
      <c r="V8" s="38"/>
      <c r="W8" s="35"/>
      <c r="X8" s="39"/>
      <c r="Y8" s="39"/>
      <c r="Z8" s="37">
        <v>32</v>
      </c>
      <c r="AA8" s="34"/>
      <c r="AB8" s="35"/>
      <c r="AC8" s="35"/>
      <c r="AD8" s="35"/>
      <c r="AE8" s="37">
        <v>24</v>
      </c>
      <c r="AF8" s="35">
        <v>8</v>
      </c>
      <c r="AG8" s="35"/>
      <c r="AH8" s="35"/>
      <c r="AI8" s="35"/>
      <c r="AJ8" s="40"/>
      <c r="AK8" s="35"/>
      <c r="AL8" s="35"/>
      <c r="AM8" s="35"/>
      <c r="AN8" s="35"/>
      <c r="AO8" s="40">
        <v>40</v>
      </c>
      <c r="AP8" s="36"/>
      <c r="AQ8" s="35">
        <v>40</v>
      </c>
      <c r="AR8" s="35">
        <v>40</v>
      </c>
      <c r="AS8" s="35"/>
      <c r="AT8" s="35"/>
      <c r="AU8" s="37"/>
      <c r="AV8" s="38"/>
      <c r="AW8" s="35"/>
      <c r="AX8" s="39"/>
      <c r="AY8" s="39"/>
      <c r="AZ8" s="37"/>
      <c r="BA8" s="38"/>
      <c r="BB8" s="35"/>
      <c r="BC8" s="39"/>
      <c r="BD8" s="39"/>
      <c r="BE8" s="37"/>
      <c r="BF8" s="36"/>
      <c r="BG8" s="35"/>
      <c r="BH8" s="35"/>
      <c r="BI8" s="35"/>
      <c r="BJ8" s="35"/>
      <c r="BK8" s="37"/>
      <c r="BL8" s="35"/>
      <c r="BM8" s="35"/>
      <c r="BN8" s="35"/>
      <c r="BO8" s="41">
        <v>24</v>
      </c>
      <c r="BP8" s="80">
        <v>32</v>
      </c>
      <c r="BQ8" s="12">
        <f t="shared" ref="BQ8:BQ14" si="13">SUM(F8:BP8)</f>
        <v>256</v>
      </c>
      <c r="BR8" s="13">
        <f t="shared" ref="BR8:BR14" si="14">E8-BQ8</f>
        <v>2</v>
      </c>
    </row>
    <row r="9" spans="1:72" s="17" customFormat="1" ht="21" customHeight="1">
      <c r="A9" s="25" t="s">
        <v>74</v>
      </c>
      <c r="B9" s="8">
        <v>0</v>
      </c>
      <c r="C9" s="9">
        <v>150</v>
      </c>
      <c r="D9" s="10">
        <v>30</v>
      </c>
      <c r="E9" s="11">
        <f t="shared" si="12"/>
        <v>180</v>
      </c>
      <c r="F9" s="186">
        <v>6</v>
      </c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34"/>
      <c r="AB9" s="35"/>
      <c r="AC9" s="35"/>
      <c r="AD9" s="35"/>
      <c r="AE9" s="37"/>
      <c r="AF9" s="35"/>
      <c r="AG9" s="35"/>
      <c r="AH9" s="35"/>
      <c r="AI9" s="35"/>
      <c r="AJ9" s="40"/>
      <c r="AK9" s="35"/>
      <c r="AL9" s="35"/>
      <c r="AM9" s="35"/>
      <c r="AN9" s="35"/>
      <c r="AO9" s="40">
        <v>30</v>
      </c>
      <c r="AP9" s="36"/>
      <c r="AQ9" s="35"/>
      <c r="AR9" s="35">
        <v>30</v>
      </c>
      <c r="AS9" s="35">
        <v>30</v>
      </c>
      <c r="AT9" s="35">
        <v>30</v>
      </c>
      <c r="AU9" s="37">
        <v>6</v>
      </c>
      <c r="AV9" s="38">
        <v>6</v>
      </c>
      <c r="AW9" s="35"/>
      <c r="AX9" s="39"/>
      <c r="AY9" s="39"/>
      <c r="AZ9" s="37"/>
      <c r="BA9" s="38"/>
      <c r="BB9" s="35"/>
      <c r="BC9" s="39"/>
      <c r="BD9" s="39"/>
      <c r="BE9" s="37"/>
      <c r="BF9" s="36"/>
      <c r="BG9" s="35"/>
      <c r="BH9" s="35"/>
      <c r="BI9" s="35"/>
      <c r="BJ9" s="35"/>
      <c r="BK9" s="37"/>
      <c r="BL9" s="35"/>
      <c r="BM9" s="35"/>
      <c r="BN9" s="35"/>
      <c r="BO9" s="41">
        <v>18</v>
      </c>
      <c r="BP9" s="81">
        <v>24</v>
      </c>
      <c r="BQ9" s="12">
        <f t="shared" si="13"/>
        <v>180</v>
      </c>
      <c r="BR9" s="13">
        <f t="shared" si="14"/>
        <v>0</v>
      </c>
    </row>
    <row r="10" spans="1:72" s="4" customFormat="1" ht="21" customHeight="1">
      <c r="A10" s="25" t="s">
        <v>145</v>
      </c>
      <c r="B10" s="8">
        <v>0</v>
      </c>
      <c r="C10" s="9">
        <v>200</v>
      </c>
      <c r="D10" s="10">
        <v>40</v>
      </c>
      <c r="E10" s="11">
        <f t="shared" si="12"/>
        <v>240</v>
      </c>
      <c r="F10" s="186">
        <v>8</v>
      </c>
      <c r="G10" s="187"/>
      <c r="H10" s="187"/>
      <c r="I10" s="187"/>
      <c r="J10" s="187">
        <v>8</v>
      </c>
      <c r="K10" s="279">
        <v>8</v>
      </c>
      <c r="L10" s="187"/>
      <c r="M10" s="187"/>
      <c r="N10" s="187"/>
      <c r="O10" s="187"/>
      <c r="P10" s="36"/>
      <c r="Q10" s="35"/>
      <c r="R10" s="35"/>
      <c r="S10" s="35"/>
      <c r="T10" s="35"/>
      <c r="U10" s="37"/>
      <c r="V10" s="38"/>
      <c r="W10" s="35"/>
      <c r="X10" s="39"/>
      <c r="Y10" s="39"/>
      <c r="Z10" s="37"/>
      <c r="AA10" s="34"/>
      <c r="AB10" s="35"/>
      <c r="AC10" s="35"/>
      <c r="AD10" s="35"/>
      <c r="AE10" s="37"/>
      <c r="AF10" s="43"/>
      <c r="AG10" s="43"/>
      <c r="AH10" s="35"/>
      <c r="AI10" s="35"/>
      <c r="AJ10" s="40"/>
      <c r="AK10" s="35"/>
      <c r="AL10" s="35">
        <v>32</v>
      </c>
      <c r="AM10" s="35">
        <v>40</v>
      </c>
      <c r="AN10" s="35"/>
      <c r="AO10" s="40"/>
      <c r="AP10" s="36"/>
      <c r="AQ10" s="35"/>
      <c r="AR10" s="35"/>
      <c r="AS10" s="35">
        <v>40</v>
      </c>
      <c r="AT10" s="35">
        <v>40</v>
      </c>
      <c r="AU10" s="37"/>
      <c r="AV10" s="38"/>
      <c r="AW10" s="35"/>
      <c r="AX10" s="39"/>
      <c r="AY10" s="39"/>
      <c r="AZ10" s="37"/>
      <c r="BA10" s="38"/>
      <c r="BB10" s="35"/>
      <c r="BC10" s="39"/>
      <c r="BD10" s="39"/>
      <c r="BE10" s="37">
        <v>16</v>
      </c>
      <c r="BF10" s="36"/>
      <c r="BG10" s="35"/>
      <c r="BH10" s="35"/>
      <c r="BI10" s="35">
        <v>8</v>
      </c>
      <c r="BJ10" s="35"/>
      <c r="BK10" s="37"/>
      <c r="BL10" s="35"/>
      <c r="BM10" s="35"/>
      <c r="BN10" s="35"/>
      <c r="BO10" s="41">
        <v>8</v>
      </c>
      <c r="BP10" s="81">
        <v>32</v>
      </c>
      <c r="BQ10" s="12">
        <f t="shared" si="13"/>
        <v>240</v>
      </c>
      <c r="BR10" s="13">
        <f t="shared" si="14"/>
        <v>0</v>
      </c>
    </row>
    <row r="11" spans="1:72" s="14" customFormat="1" ht="21" customHeight="1">
      <c r="A11" s="7" t="s">
        <v>75</v>
      </c>
      <c r="B11" s="8">
        <v>0</v>
      </c>
      <c r="C11" s="9">
        <v>200</v>
      </c>
      <c r="D11" s="8">
        <v>40</v>
      </c>
      <c r="E11" s="11">
        <f t="shared" si="12"/>
        <v>240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43"/>
      <c r="S11" s="43"/>
      <c r="T11" s="43"/>
      <c r="U11" s="44"/>
      <c r="V11" s="38"/>
      <c r="W11" s="35"/>
      <c r="X11" s="39"/>
      <c r="Y11" s="39"/>
      <c r="Z11" s="37"/>
      <c r="AA11" s="42"/>
      <c r="AB11" s="35"/>
      <c r="AC11" s="35"/>
      <c r="AD11" s="35"/>
      <c r="AE11" s="37"/>
      <c r="AF11" s="35"/>
      <c r="AG11" s="35"/>
      <c r="AH11" s="35"/>
      <c r="AI11" s="35">
        <v>40</v>
      </c>
      <c r="AJ11" s="40">
        <v>40</v>
      </c>
      <c r="AK11" s="35"/>
      <c r="AL11" s="35">
        <v>32</v>
      </c>
      <c r="AM11" s="35"/>
      <c r="AN11" s="35"/>
      <c r="AO11" s="40"/>
      <c r="AP11" s="36"/>
      <c r="AQ11" s="35">
        <v>40</v>
      </c>
      <c r="AR11" s="43">
        <v>40</v>
      </c>
      <c r="AS11" s="43"/>
      <c r="AT11" s="43"/>
      <c r="AU11" s="44"/>
      <c r="AV11" s="38"/>
      <c r="AW11" s="35"/>
      <c r="AX11" s="39"/>
      <c r="AY11" s="39"/>
      <c r="AZ11" s="37">
        <v>8</v>
      </c>
      <c r="BA11" s="38"/>
      <c r="BB11" s="35"/>
      <c r="BC11" s="39"/>
      <c r="BD11" s="39"/>
      <c r="BE11" s="37"/>
      <c r="BF11" s="36"/>
      <c r="BG11" s="35"/>
      <c r="BH11" s="43"/>
      <c r="BI11" s="43"/>
      <c r="BJ11" s="43"/>
      <c r="BK11" s="44"/>
      <c r="BL11" s="35"/>
      <c r="BM11" s="35"/>
      <c r="BN11" s="35"/>
      <c r="BO11" s="46">
        <v>8</v>
      </c>
      <c r="BP11" s="80">
        <v>32</v>
      </c>
      <c r="BQ11" s="12">
        <f t="shared" si="13"/>
        <v>240</v>
      </c>
      <c r="BR11" s="13">
        <f t="shared" si="14"/>
        <v>0</v>
      </c>
    </row>
    <row r="12" spans="1:72" s="14" customFormat="1" ht="21" customHeight="1">
      <c r="A12" s="7" t="s">
        <v>76</v>
      </c>
      <c r="B12" s="54">
        <v>6</v>
      </c>
      <c r="C12" s="55">
        <v>150</v>
      </c>
      <c r="D12" s="56">
        <v>30</v>
      </c>
      <c r="E12" s="57">
        <f t="shared" si="12"/>
        <v>186</v>
      </c>
      <c r="F12" s="190">
        <v>6</v>
      </c>
      <c r="G12" s="191"/>
      <c r="H12" s="191"/>
      <c r="I12" s="191"/>
      <c r="J12" s="191">
        <v>6</v>
      </c>
      <c r="K12" s="276"/>
      <c r="L12" s="191"/>
      <c r="M12" s="191"/>
      <c r="N12" s="191">
        <v>6</v>
      </c>
      <c r="O12" s="191"/>
      <c r="P12" s="60"/>
      <c r="Q12" s="59"/>
      <c r="R12" s="59"/>
      <c r="S12" s="59"/>
      <c r="T12" s="59"/>
      <c r="U12" s="61"/>
      <c r="V12" s="62"/>
      <c r="W12" s="59"/>
      <c r="X12" s="63"/>
      <c r="Y12" s="63"/>
      <c r="Z12" s="61"/>
      <c r="AA12" s="58"/>
      <c r="AB12" s="59"/>
      <c r="AC12" s="59"/>
      <c r="AD12" s="59"/>
      <c r="AE12" s="61"/>
      <c r="AF12" s="59"/>
      <c r="AG12" s="59"/>
      <c r="AH12" s="59"/>
      <c r="AI12" s="59"/>
      <c r="AJ12" s="64"/>
      <c r="AK12" s="59">
        <v>18</v>
      </c>
      <c r="AL12" s="59"/>
      <c r="AM12" s="59"/>
      <c r="AN12" s="59">
        <v>30</v>
      </c>
      <c r="AO12" s="64">
        <v>30</v>
      </c>
      <c r="AP12" s="60"/>
      <c r="AQ12" s="59"/>
      <c r="AR12" s="59"/>
      <c r="AS12" s="59"/>
      <c r="AT12" s="59">
        <v>30</v>
      </c>
      <c r="AU12" s="61">
        <v>6</v>
      </c>
      <c r="AV12" s="62"/>
      <c r="AW12" s="59"/>
      <c r="AX12" s="63"/>
      <c r="AY12" s="63"/>
      <c r="AZ12" s="61"/>
      <c r="BA12" s="62"/>
      <c r="BB12" s="59"/>
      <c r="BC12" s="63"/>
      <c r="BD12" s="63"/>
      <c r="BE12" s="61">
        <v>12</v>
      </c>
      <c r="BF12" s="60"/>
      <c r="BG12" s="59"/>
      <c r="BH12" s="59"/>
      <c r="BI12" s="59"/>
      <c r="BJ12" s="59"/>
      <c r="BK12" s="61"/>
      <c r="BL12" s="59"/>
      <c r="BM12" s="59"/>
      <c r="BN12" s="59"/>
      <c r="BO12" s="65">
        <v>18</v>
      </c>
      <c r="BP12" s="58">
        <v>24</v>
      </c>
      <c r="BQ12" s="66">
        <f t="shared" si="13"/>
        <v>186</v>
      </c>
      <c r="BR12" s="67">
        <f t="shared" si="14"/>
        <v>0</v>
      </c>
    </row>
    <row r="13" spans="1:72" s="15" customFormat="1" ht="21" customHeight="1">
      <c r="A13" s="7" t="s">
        <v>77</v>
      </c>
      <c r="B13" s="8">
        <v>0</v>
      </c>
      <c r="C13" s="9">
        <v>150</v>
      </c>
      <c r="D13" s="10">
        <v>30</v>
      </c>
      <c r="E13" s="11">
        <f t="shared" si="12"/>
        <v>180</v>
      </c>
      <c r="F13" s="186"/>
      <c r="G13" s="187"/>
      <c r="H13" s="187"/>
      <c r="I13" s="187"/>
      <c r="J13" s="187"/>
      <c r="K13" s="279"/>
      <c r="L13" s="187"/>
      <c r="M13" s="187"/>
      <c r="N13" s="187"/>
      <c r="O13" s="187"/>
      <c r="P13" s="36"/>
      <c r="Q13" s="35"/>
      <c r="R13" s="35"/>
      <c r="S13" s="35"/>
      <c r="T13" s="35"/>
      <c r="U13" s="37"/>
      <c r="V13" s="38">
        <v>6</v>
      </c>
      <c r="W13" s="35"/>
      <c r="X13" s="39"/>
      <c r="Y13" s="39"/>
      <c r="Z13" s="37"/>
      <c r="AA13" s="42"/>
      <c r="AB13" s="35"/>
      <c r="AC13" s="35"/>
      <c r="AD13" s="43"/>
      <c r="AE13" s="44"/>
      <c r="AF13" s="43">
        <v>6</v>
      </c>
      <c r="AG13" s="43"/>
      <c r="AH13" s="43"/>
      <c r="AI13" s="43"/>
      <c r="AJ13" s="45"/>
      <c r="AK13" s="43">
        <v>6</v>
      </c>
      <c r="AL13" s="43"/>
      <c r="AM13" s="43">
        <v>30</v>
      </c>
      <c r="AN13" s="43">
        <v>30</v>
      </c>
      <c r="AO13" s="45">
        <v>30</v>
      </c>
      <c r="AP13" s="36"/>
      <c r="AQ13" s="35">
        <v>6</v>
      </c>
      <c r="AR13" s="35">
        <v>12</v>
      </c>
      <c r="AS13" s="35"/>
      <c r="AT13" s="35">
        <v>6</v>
      </c>
      <c r="AU13" s="37">
        <v>6</v>
      </c>
      <c r="AV13" s="38"/>
      <c r="AW13" s="35"/>
      <c r="AX13" s="39"/>
      <c r="AY13" s="39">
        <v>6</v>
      </c>
      <c r="AZ13" s="37"/>
      <c r="BA13" s="38"/>
      <c r="BB13" s="35"/>
      <c r="BC13" s="39"/>
      <c r="BD13" s="39">
        <v>6</v>
      </c>
      <c r="BE13" s="37"/>
      <c r="BF13" s="36"/>
      <c r="BG13" s="35"/>
      <c r="BH13" s="35"/>
      <c r="BI13" s="35"/>
      <c r="BJ13" s="35"/>
      <c r="BK13" s="37"/>
      <c r="BL13" s="43"/>
      <c r="BM13" s="43"/>
      <c r="BN13" s="43"/>
      <c r="BO13" s="46">
        <v>6</v>
      </c>
      <c r="BP13" s="42">
        <v>24</v>
      </c>
      <c r="BQ13" s="12">
        <f t="shared" si="13"/>
        <v>180</v>
      </c>
      <c r="BR13" s="13">
        <f t="shared" si="14"/>
        <v>0</v>
      </c>
      <c r="BT13" s="15">
        <v>3</v>
      </c>
    </row>
    <row r="14" spans="1:72" s="4" customFormat="1" ht="21" customHeight="1">
      <c r="A14" s="7" t="s">
        <v>149</v>
      </c>
      <c r="B14" s="8">
        <v>0</v>
      </c>
      <c r="C14" s="9">
        <v>136</v>
      </c>
      <c r="D14" s="18">
        <v>28</v>
      </c>
      <c r="E14" s="11">
        <f t="shared" si="12"/>
        <v>164</v>
      </c>
      <c r="F14" s="77"/>
      <c r="G14" s="73"/>
      <c r="H14" s="73"/>
      <c r="I14" s="73"/>
      <c r="J14" s="73"/>
      <c r="K14" s="279"/>
      <c r="L14" s="187"/>
      <c r="M14" s="187"/>
      <c r="N14" s="187"/>
      <c r="O14" s="187"/>
      <c r="P14" s="36"/>
      <c r="Q14" s="35"/>
      <c r="R14" s="35"/>
      <c r="S14" s="35"/>
      <c r="T14" s="35"/>
      <c r="U14" s="37"/>
      <c r="V14" s="38"/>
      <c r="W14" s="35"/>
      <c r="X14" s="39"/>
      <c r="Y14" s="39"/>
      <c r="Z14" s="37"/>
      <c r="AA14" s="34"/>
      <c r="AB14" s="35"/>
      <c r="AC14" s="35"/>
      <c r="AD14" s="35"/>
      <c r="AE14" s="37"/>
      <c r="AF14" s="35"/>
      <c r="AG14" s="35"/>
      <c r="AH14" s="35"/>
      <c r="AI14" s="35"/>
      <c r="AJ14" s="40"/>
      <c r="AK14" s="35">
        <v>19</v>
      </c>
      <c r="AL14" s="35">
        <v>23</v>
      </c>
      <c r="AM14" s="35">
        <v>30</v>
      </c>
      <c r="AN14" s="35">
        <v>30</v>
      </c>
      <c r="AO14" s="40"/>
      <c r="AP14" s="36"/>
      <c r="AQ14" s="35"/>
      <c r="AR14" s="35"/>
      <c r="AS14" s="35">
        <v>26</v>
      </c>
      <c r="AT14" s="35"/>
      <c r="AU14" s="37"/>
      <c r="AV14" s="38"/>
      <c r="AW14" s="35"/>
      <c r="AX14" s="39"/>
      <c r="AY14" s="39"/>
      <c r="AZ14" s="37"/>
      <c r="BA14" s="38"/>
      <c r="BB14" s="35"/>
      <c r="BC14" s="39"/>
      <c r="BD14" s="39"/>
      <c r="BE14" s="37"/>
      <c r="BF14" s="36"/>
      <c r="BG14" s="35"/>
      <c r="BH14" s="35"/>
      <c r="BI14" s="35"/>
      <c r="BJ14" s="35"/>
      <c r="BK14" s="37"/>
      <c r="BL14" s="35"/>
      <c r="BM14" s="35"/>
      <c r="BN14" s="35"/>
      <c r="BO14" s="41">
        <v>6</v>
      </c>
      <c r="BP14" s="81">
        <v>24</v>
      </c>
      <c r="BQ14" s="12">
        <f t="shared" si="13"/>
        <v>158</v>
      </c>
      <c r="BR14" s="13">
        <f t="shared" si="14"/>
        <v>6</v>
      </c>
    </row>
    <row r="15" spans="1:72" s="14" customFormat="1" ht="21" customHeight="1">
      <c r="A15" s="7" t="s">
        <v>78</v>
      </c>
      <c r="B15" s="8">
        <v>33.5</v>
      </c>
      <c r="C15" s="9">
        <v>200</v>
      </c>
      <c r="D15" s="10">
        <v>40</v>
      </c>
      <c r="E15" s="11">
        <f t="shared" ref="E15:E30" si="15">SUM(B15+C15+D15)</f>
        <v>273.5</v>
      </c>
      <c r="F15" s="186"/>
      <c r="G15" s="187"/>
      <c r="H15" s="187"/>
      <c r="I15" s="187"/>
      <c r="J15" s="187"/>
      <c r="K15" s="279"/>
      <c r="L15" s="187">
        <v>6.5</v>
      </c>
      <c r="M15" s="187"/>
      <c r="N15" s="187"/>
      <c r="O15" s="187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42"/>
      <c r="AB15" s="43"/>
      <c r="AC15" s="35"/>
      <c r="AD15" s="43"/>
      <c r="AE15" s="44"/>
      <c r="AF15" s="43"/>
      <c r="AG15" s="43"/>
      <c r="AH15" s="43"/>
      <c r="AI15" s="43"/>
      <c r="AJ15" s="47"/>
      <c r="AK15" s="43"/>
      <c r="AL15" s="168">
        <v>32</v>
      </c>
      <c r="AM15" s="43">
        <v>40</v>
      </c>
      <c r="AN15" s="43">
        <v>40</v>
      </c>
      <c r="AO15" s="45">
        <v>40</v>
      </c>
      <c r="AP15" s="36"/>
      <c r="AQ15" s="35"/>
      <c r="AR15" s="35"/>
      <c r="AS15" s="35">
        <v>40</v>
      </c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>
        <v>16</v>
      </c>
      <c r="BF15" s="36"/>
      <c r="BG15" s="35"/>
      <c r="BH15" s="35"/>
      <c r="BI15" s="35"/>
      <c r="BJ15" s="35"/>
      <c r="BK15" s="37"/>
      <c r="BL15" s="43"/>
      <c r="BM15" s="43"/>
      <c r="BN15" s="43"/>
      <c r="BO15" s="46">
        <v>25.5</v>
      </c>
      <c r="BP15" s="80">
        <v>33.5</v>
      </c>
      <c r="BQ15" s="12">
        <f t="shared" ref="BQ15:BQ30" si="16">SUM(F15:BP15)</f>
        <v>273.5</v>
      </c>
      <c r="BR15" s="13">
        <f t="shared" ref="BR15:BR30" si="17">E15-BQ15</f>
        <v>0</v>
      </c>
    </row>
    <row r="16" spans="1:72" s="14" customFormat="1" ht="21" customHeight="1">
      <c r="A16" s="7" t="s">
        <v>79</v>
      </c>
      <c r="B16" s="8">
        <v>14</v>
      </c>
      <c r="C16" s="19">
        <v>200</v>
      </c>
      <c r="D16" s="21">
        <v>40</v>
      </c>
      <c r="E16" s="11">
        <f t="shared" si="15"/>
        <v>254</v>
      </c>
      <c r="F16" s="186"/>
      <c r="G16" s="187"/>
      <c r="H16" s="187"/>
      <c r="I16" s="187"/>
      <c r="J16" s="187">
        <v>8</v>
      </c>
      <c r="K16" s="279"/>
      <c r="L16" s="187"/>
      <c r="M16" s="187"/>
      <c r="N16" s="187"/>
      <c r="O16" s="187"/>
      <c r="P16" s="36"/>
      <c r="Q16" s="35">
        <v>8</v>
      </c>
      <c r="R16" s="35"/>
      <c r="S16" s="35"/>
      <c r="T16" s="35"/>
      <c r="U16" s="37"/>
      <c r="V16" s="38">
        <v>8</v>
      </c>
      <c r="W16" s="35"/>
      <c r="X16" s="39"/>
      <c r="Y16" s="39"/>
      <c r="Z16" s="37"/>
      <c r="AA16" s="34"/>
      <c r="AB16" s="43">
        <v>8</v>
      </c>
      <c r="AC16" s="35"/>
      <c r="AD16" s="35"/>
      <c r="AE16" s="37"/>
      <c r="AF16" s="35"/>
      <c r="AG16" s="35"/>
      <c r="AH16" s="35"/>
      <c r="AI16" s="35"/>
      <c r="AJ16" s="40">
        <v>40</v>
      </c>
      <c r="AK16" s="35"/>
      <c r="AL16" s="35">
        <v>32</v>
      </c>
      <c r="AM16" s="35"/>
      <c r="AN16" s="35"/>
      <c r="AO16" s="40"/>
      <c r="AP16" s="36"/>
      <c r="AQ16" s="35">
        <v>40</v>
      </c>
      <c r="AR16" s="35">
        <v>40</v>
      </c>
      <c r="AS16" s="35"/>
      <c r="AT16" s="35"/>
      <c r="AU16" s="37"/>
      <c r="AV16" s="38"/>
      <c r="AW16" s="35"/>
      <c r="AX16" s="39"/>
      <c r="AY16" s="39"/>
      <c r="AZ16" s="37">
        <v>24</v>
      </c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>
        <v>8</v>
      </c>
      <c r="BP16" s="81">
        <v>32</v>
      </c>
      <c r="BQ16" s="12">
        <f t="shared" si="16"/>
        <v>248</v>
      </c>
      <c r="BR16" s="13">
        <f t="shared" si="17"/>
        <v>6</v>
      </c>
      <c r="BS16" s="16"/>
    </row>
    <row r="17" spans="1:72" s="4" customFormat="1" ht="21" customHeight="1">
      <c r="A17" s="7" t="s">
        <v>80</v>
      </c>
      <c r="B17" s="8">
        <v>0</v>
      </c>
      <c r="C17" s="9">
        <v>200</v>
      </c>
      <c r="D17" s="10">
        <v>40</v>
      </c>
      <c r="E17" s="11">
        <f t="shared" si="15"/>
        <v>240</v>
      </c>
      <c r="F17" s="186"/>
      <c r="G17" s="187"/>
      <c r="H17" s="187"/>
      <c r="I17" s="187"/>
      <c r="J17" s="187"/>
      <c r="K17" s="279"/>
      <c r="L17" s="187"/>
      <c r="M17" s="187"/>
      <c r="N17" s="187"/>
      <c r="O17" s="187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>
        <v>8</v>
      </c>
      <c r="AC17" s="35">
        <v>8</v>
      </c>
      <c r="AD17" s="43"/>
      <c r="AE17" s="44"/>
      <c r="AF17" s="43"/>
      <c r="AG17" s="43"/>
      <c r="AH17" s="43"/>
      <c r="AI17" s="43"/>
      <c r="AJ17" s="45"/>
      <c r="AK17" s="43"/>
      <c r="AL17" s="43"/>
      <c r="AM17" s="43"/>
      <c r="AN17" s="43"/>
      <c r="AO17" s="45"/>
      <c r="AP17" s="36"/>
      <c r="AQ17" s="35">
        <v>40</v>
      </c>
      <c r="AR17" s="35">
        <v>40</v>
      </c>
      <c r="AS17" s="35">
        <v>40</v>
      </c>
      <c r="AT17" s="35">
        <v>40</v>
      </c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>
        <v>16</v>
      </c>
      <c r="BF17" s="36"/>
      <c r="BG17" s="35"/>
      <c r="BH17" s="35"/>
      <c r="BI17" s="35">
        <v>8</v>
      </c>
      <c r="BJ17" s="35"/>
      <c r="BK17" s="37"/>
      <c r="BL17" s="43"/>
      <c r="BM17" s="43"/>
      <c r="BN17" s="43"/>
      <c r="BO17" s="46">
        <v>8</v>
      </c>
      <c r="BP17" s="80">
        <v>32</v>
      </c>
      <c r="BQ17" s="12">
        <f t="shared" si="16"/>
        <v>240</v>
      </c>
      <c r="BR17" s="13">
        <f t="shared" si="17"/>
        <v>0</v>
      </c>
    </row>
    <row r="18" spans="1:72" s="14" customFormat="1" ht="21" customHeight="1">
      <c r="A18" s="7" t="s">
        <v>81</v>
      </c>
      <c r="B18" s="8">
        <v>0</v>
      </c>
      <c r="C18" s="9">
        <v>150</v>
      </c>
      <c r="D18" s="18">
        <v>30</v>
      </c>
      <c r="E18" s="11">
        <f t="shared" si="15"/>
        <v>180</v>
      </c>
      <c r="F18" s="186"/>
      <c r="G18" s="187"/>
      <c r="H18" s="187"/>
      <c r="I18" s="187"/>
      <c r="J18" s="187"/>
      <c r="K18" s="279"/>
      <c r="L18" s="187"/>
      <c r="M18" s="187"/>
      <c r="N18" s="187"/>
      <c r="O18" s="187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>
        <v>30</v>
      </c>
      <c r="AN18" s="35">
        <v>30</v>
      </c>
      <c r="AO18" s="40">
        <v>30</v>
      </c>
      <c r="AP18" s="36"/>
      <c r="AQ18" s="35">
        <v>30</v>
      </c>
      <c r="AR18" s="35">
        <v>30</v>
      </c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43"/>
      <c r="BN18" s="43"/>
      <c r="BO18" s="41">
        <v>8</v>
      </c>
      <c r="BP18" s="81">
        <v>22</v>
      </c>
      <c r="BQ18" s="12">
        <f t="shared" si="16"/>
        <v>180</v>
      </c>
      <c r="BR18" s="13">
        <f t="shared" si="17"/>
        <v>0</v>
      </c>
    </row>
    <row r="19" spans="1:72" s="14" customFormat="1" ht="21" customHeight="1">
      <c r="A19" s="25" t="s">
        <v>83</v>
      </c>
      <c r="B19" s="8">
        <v>11</v>
      </c>
      <c r="C19" s="9">
        <v>150</v>
      </c>
      <c r="D19" s="10">
        <v>30</v>
      </c>
      <c r="E19" s="11">
        <f t="shared" si="15"/>
        <v>191</v>
      </c>
      <c r="F19" s="186">
        <v>6</v>
      </c>
      <c r="G19" s="187"/>
      <c r="H19" s="187"/>
      <c r="I19" s="187"/>
      <c r="J19" s="187">
        <v>6</v>
      </c>
      <c r="K19" s="279"/>
      <c r="L19" s="187"/>
      <c r="M19" s="187"/>
      <c r="N19" s="187"/>
      <c r="O19" s="187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48"/>
      <c r="AB19" s="49"/>
      <c r="AC19" s="49"/>
      <c r="AD19" s="49"/>
      <c r="AE19" s="50"/>
      <c r="AF19" s="49"/>
      <c r="AG19" s="49"/>
      <c r="AH19" s="49"/>
      <c r="AI19" s="49"/>
      <c r="AJ19" s="51"/>
      <c r="AK19" s="49"/>
      <c r="AL19" s="49"/>
      <c r="AM19" s="49"/>
      <c r="AN19" s="49"/>
      <c r="AO19" s="215">
        <v>30</v>
      </c>
      <c r="AP19" s="36"/>
      <c r="AQ19" s="170">
        <v>30</v>
      </c>
      <c r="AR19" s="35">
        <v>30</v>
      </c>
      <c r="AS19" s="35">
        <v>30</v>
      </c>
      <c r="AT19" s="35">
        <v>30</v>
      </c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49"/>
      <c r="BM19" s="49"/>
      <c r="BN19" s="49"/>
      <c r="BO19" s="41">
        <v>6</v>
      </c>
      <c r="BP19" s="81">
        <v>24</v>
      </c>
      <c r="BQ19" s="12">
        <f t="shared" si="16"/>
        <v>192</v>
      </c>
      <c r="BR19" s="13">
        <f t="shared" si="17"/>
        <v>-1</v>
      </c>
    </row>
    <row r="20" spans="1:72" s="14" customFormat="1" ht="21" customHeight="1">
      <c r="A20" s="7" t="s">
        <v>84</v>
      </c>
      <c r="B20" s="8">
        <v>0</v>
      </c>
      <c r="C20" s="9">
        <v>200</v>
      </c>
      <c r="D20" s="10">
        <v>0</v>
      </c>
      <c r="E20" s="11">
        <f t="shared" si="15"/>
        <v>200</v>
      </c>
      <c r="F20" s="186">
        <v>8</v>
      </c>
      <c r="G20" s="187"/>
      <c r="H20" s="187"/>
      <c r="I20" s="187"/>
      <c r="J20" s="187"/>
      <c r="K20" s="279"/>
      <c r="L20" s="187"/>
      <c r="M20" s="187"/>
      <c r="N20" s="187"/>
      <c r="O20" s="187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35"/>
      <c r="AG20" s="35"/>
      <c r="AH20" s="35"/>
      <c r="AI20" s="35"/>
      <c r="AJ20" s="40">
        <v>16</v>
      </c>
      <c r="AK20" s="35">
        <v>24</v>
      </c>
      <c r="AL20" s="35">
        <v>32</v>
      </c>
      <c r="AM20" s="35">
        <v>40</v>
      </c>
      <c r="AN20" s="35"/>
      <c r="AO20" s="40"/>
      <c r="AP20" s="36"/>
      <c r="AQ20" s="35"/>
      <c r="AR20" s="35"/>
      <c r="AS20" s="35"/>
      <c r="AT20" s="35"/>
      <c r="AU20" s="37">
        <v>8</v>
      </c>
      <c r="AV20" s="38">
        <v>8</v>
      </c>
      <c r="AW20" s="35"/>
      <c r="AX20" s="39"/>
      <c r="AY20" s="39"/>
      <c r="AZ20" s="37"/>
      <c r="BA20" s="38"/>
      <c r="BB20" s="35"/>
      <c r="BC20" s="39"/>
      <c r="BD20" s="39"/>
      <c r="BE20" s="37">
        <v>24</v>
      </c>
      <c r="BF20" s="36"/>
      <c r="BG20" s="35"/>
      <c r="BH20" s="35"/>
      <c r="BI20" s="35"/>
      <c r="BJ20" s="35"/>
      <c r="BK20" s="37"/>
      <c r="BL20" s="35"/>
      <c r="BM20" s="35"/>
      <c r="BN20" s="35"/>
      <c r="BO20" s="41">
        <v>8</v>
      </c>
      <c r="BP20" s="81">
        <v>32</v>
      </c>
      <c r="BQ20" s="12">
        <f t="shared" si="16"/>
        <v>200</v>
      </c>
      <c r="BR20" s="13">
        <f t="shared" si="17"/>
        <v>0</v>
      </c>
    </row>
    <row r="21" spans="1:72" s="14" customFormat="1" ht="21" customHeight="1">
      <c r="A21" s="7"/>
      <c r="B21" s="8"/>
      <c r="C21" s="9"/>
      <c r="D21" s="10"/>
      <c r="E21" s="11">
        <f t="shared" si="15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81"/>
      <c r="BQ21" s="12">
        <f t="shared" si="16"/>
        <v>0</v>
      </c>
      <c r="BR21" s="13">
        <f t="shared" si="17"/>
        <v>0</v>
      </c>
      <c r="BT21" s="14" t="s">
        <v>72</v>
      </c>
    </row>
    <row r="22" spans="1:72" s="4" customFormat="1" ht="21" customHeight="1">
      <c r="A22" s="7"/>
      <c r="B22" s="8"/>
      <c r="C22" s="9"/>
      <c r="D22" s="18"/>
      <c r="E22" s="11">
        <f t="shared" si="15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81"/>
      <c r="BQ22" s="12">
        <f t="shared" si="16"/>
        <v>0</v>
      </c>
      <c r="BR22" s="13">
        <f t="shared" si="17"/>
        <v>0</v>
      </c>
    </row>
    <row r="23" spans="1:72" ht="21" customHeight="1">
      <c r="A23" s="7"/>
      <c r="B23" s="8"/>
      <c r="C23" s="19"/>
      <c r="D23" s="20"/>
      <c r="E23" s="11">
        <f t="shared" si="15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81"/>
      <c r="BQ23" s="12">
        <f t="shared" si="16"/>
        <v>0</v>
      </c>
      <c r="BR23" s="13">
        <f t="shared" si="17"/>
        <v>0</v>
      </c>
    </row>
    <row r="24" spans="1:72" s="14" customFormat="1" ht="21" customHeight="1">
      <c r="A24" s="7" t="s">
        <v>95</v>
      </c>
      <c r="B24" s="8">
        <v>0</v>
      </c>
      <c r="C24" s="9">
        <v>0</v>
      </c>
      <c r="D24" s="10">
        <v>2</v>
      </c>
      <c r="E24" s="11">
        <f t="shared" ref="E24" si="18">SUM(B24+C24+D24)</f>
        <v>2</v>
      </c>
      <c r="F24" s="186">
        <v>2</v>
      </c>
      <c r="G24" s="187"/>
      <c r="H24" s="187"/>
      <c r="I24" s="187"/>
      <c r="J24" s="187"/>
      <c r="K24" s="72"/>
      <c r="L24" s="73"/>
      <c r="M24" s="73"/>
      <c r="N24" s="73"/>
      <c r="O24" s="73"/>
      <c r="P24" s="72"/>
      <c r="Q24" s="73"/>
      <c r="R24" s="73"/>
      <c r="S24" s="73"/>
      <c r="T24" s="73"/>
      <c r="U24" s="74"/>
      <c r="V24" s="75"/>
      <c r="W24" s="73"/>
      <c r="X24" s="76"/>
      <c r="Y24" s="76"/>
      <c r="Z24" s="74"/>
      <c r="AA24" s="77"/>
      <c r="AB24" s="73"/>
      <c r="AC24" s="73"/>
      <c r="AD24" s="73"/>
      <c r="AE24" s="74"/>
      <c r="AF24" s="73"/>
      <c r="AG24" s="73"/>
      <c r="AH24" s="73"/>
      <c r="AI24" s="73"/>
      <c r="AJ24" s="78"/>
      <c r="AK24" s="73"/>
      <c r="AL24" s="73"/>
      <c r="AM24" s="73"/>
      <c r="AN24" s="73"/>
      <c r="AO24" s="78"/>
      <c r="AP24" s="72"/>
      <c r="AQ24" s="73"/>
      <c r="AR24" s="73"/>
      <c r="AS24" s="73"/>
      <c r="AT24" s="73"/>
      <c r="AU24" s="74"/>
      <c r="AV24" s="75"/>
      <c r="AW24" s="73"/>
      <c r="AX24" s="76"/>
      <c r="AY24" s="76"/>
      <c r="AZ24" s="74"/>
      <c r="BA24" s="75"/>
      <c r="BB24" s="73"/>
      <c r="BC24" s="76"/>
      <c r="BD24" s="76"/>
      <c r="BE24" s="74"/>
      <c r="BF24" s="72"/>
      <c r="BG24" s="73"/>
      <c r="BH24" s="73"/>
      <c r="BI24" s="73"/>
      <c r="BJ24" s="73"/>
      <c r="BK24" s="74"/>
      <c r="BL24" s="73"/>
      <c r="BM24" s="73"/>
      <c r="BN24" s="73"/>
      <c r="BO24" s="79"/>
      <c r="BP24" s="82"/>
      <c r="BQ24" s="12">
        <f t="shared" ref="BQ24" si="19">SUM(F24:BP24)</f>
        <v>2</v>
      </c>
      <c r="BR24" s="13">
        <f t="shared" ref="BR24" si="20">E24-BQ24</f>
        <v>0</v>
      </c>
    </row>
    <row r="25" spans="1:72" s="14" customFormat="1" ht="21" customHeight="1">
      <c r="A25" s="7"/>
      <c r="B25" s="8"/>
      <c r="C25" s="19"/>
      <c r="D25" s="21"/>
      <c r="E25" s="11">
        <f t="shared" si="15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81"/>
      <c r="BQ25" s="12">
        <f t="shared" si="16"/>
        <v>0</v>
      </c>
      <c r="BR25" s="13">
        <f t="shared" si="17"/>
        <v>0</v>
      </c>
      <c r="BT25" s="14" t="s">
        <v>72</v>
      </c>
    </row>
    <row r="26" spans="1:72" s="14" customFormat="1" ht="21" customHeight="1">
      <c r="A26" s="7"/>
      <c r="B26" s="8"/>
      <c r="C26" s="9"/>
      <c r="D26" s="10"/>
      <c r="E26" s="11">
        <f t="shared" ref="E26:E28" si="21">SUM(B26+C26+D26)</f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81"/>
      <c r="BQ26" s="12">
        <f t="shared" ref="BQ26:BQ28" si="22">SUM(F26:BP26)</f>
        <v>0</v>
      </c>
      <c r="BR26" s="13">
        <f t="shared" ref="BR26:BR28" si="23">E26-BQ26</f>
        <v>0</v>
      </c>
      <c r="BT26" s="14" t="s">
        <v>72</v>
      </c>
    </row>
    <row r="27" spans="1:72" s="4" customFormat="1" ht="21" customHeight="1">
      <c r="A27" s="7"/>
      <c r="B27" s="8"/>
      <c r="C27" s="9"/>
      <c r="D27" s="18"/>
      <c r="E27" s="11">
        <f t="shared" si="21"/>
        <v>0</v>
      </c>
      <c r="F27" s="34"/>
      <c r="G27" s="35"/>
      <c r="H27" s="35"/>
      <c r="I27" s="35"/>
      <c r="J27" s="35"/>
      <c r="K27" s="36"/>
      <c r="L27" s="35"/>
      <c r="M27" s="35"/>
      <c r="N27" s="35"/>
      <c r="O27" s="35"/>
      <c r="P27" s="36"/>
      <c r="Q27" s="35"/>
      <c r="R27" s="35"/>
      <c r="S27" s="35"/>
      <c r="T27" s="35"/>
      <c r="U27" s="37"/>
      <c r="V27" s="38"/>
      <c r="W27" s="35"/>
      <c r="X27" s="39"/>
      <c r="Y27" s="39"/>
      <c r="Z27" s="37"/>
      <c r="AA27" s="34"/>
      <c r="AB27" s="35"/>
      <c r="AC27" s="35"/>
      <c r="AD27" s="35"/>
      <c r="AE27" s="37"/>
      <c r="AF27" s="35"/>
      <c r="AG27" s="35"/>
      <c r="AH27" s="35"/>
      <c r="AI27" s="35"/>
      <c r="AJ27" s="40"/>
      <c r="AK27" s="35"/>
      <c r="AL27" s="35"/>
      <c r="AM27" s="35"/>
      <c r="AN27" s="35"/>
      <c r="AO27" s="40"/>
      <c r="AP27" s="36"/>
      <c r="AQ27" s="35"/>
      <c r="AR27" s="35"/>
      <c r="AS27" s="35"/>
      <c r="AT27" s="35"/>
      <c r="AU27" s="37"/>
      <c r="AV27" s="38"/>
      <c r="AW27" s="35"/>
      <c r="AX27" s="39"/>
      <c r="AY27" s="39"/>
      <c r="AZ27" s="37"/>
      <c r="BA27" s="38"/>
      <c r="BB27" s="35"/>
      <c r="BC27" s="39"/>
      <c r="BD27" s="39"/>
      <c r="BE27" s="37"/>
      <c r="BF27" s="36"/>
      <c r="BG27" s="35"/>
      <c r="BH27" s="35"/>
      <c r="BI27" s="35"/>
      <c r="BJ27" s="35"/>
      <c r="BK27" s="37"/>
      <c r="BL27" s="35"/>
      <c r="BM27" s="35"/>
      <c r="BN27" s="35"/>
      <c r="BO27" s="41"/>
      <c r="BP27" s="81"/>
      <c r="BQ27" s="12">
        <f t="shared" si="22"/>
        <v>0</v>
      </c>
      <c r="BR27" s="13">
        <f t="shared" si="23"/>
        <v>0</v>
      </c>
    </row>
    <row r="28" spans="1:72" ht="21" customHeight="1">
      <c r="A28" s="7"/>
      <c r="B28" s="8"/>
      <c r="C28" s="19"/>
      <c r="D28" s="20"/>
      <c r="E28" s="11">
        <f t="shared" si="21"/>
        <v>0</v>
      </c>
      <c r="F28" s="34"/>
      <c r="G28" s="35"/>
      <c r="H28" s="35"/>
      <c r="I28" s="35"/>
      <c r="J28" s="35"/>
      <c r="K28" s="36"/>
      <c r="L28" s="35"/>
      <c r="M28" s="35"/>
      <c r="N28" s="35"/>
      <c r="O28" s="35"/>
      <c r="P28" s="36"/>
      <c r="Q28" s="35"/>
      <c r="R28" s="35"/>
      <c r="S28" s="35"/>
      <c r="T28" s="35"/>
      <c r="U28" s="37"/>
      <c r="V28" s="38"/>
      <c r="W28" s="35"/>
      <c r="X28" s="39"/>
      <c r="Y28" s="39"/>
      <c r="Z28" s="37"/>
      <c r="AA28" s="34"/>
      <c r="AB28" s="35"/>
      <c r="AC28" s="35"/>
      <c r="AD28" s="35"/>
      <c r="AE28" s="37"/>
      <c r="AF28" s="35"/>
      <c r="AG28" s="35"/>
      <c r="AH28" s="35"/>
      <c r="AI28" s="35"/>
      <c r="AJ28" s="40"/>
      <c r="AK28" s="35"/>
      <c r="AL28" s="35"/>
      <c r="AM28" s="35"/>
      <c r="AN28" s="35"/>
      <c r="AO28" s="40"/>
      <c r="AP28" s="36"/>
      <c r="AQ28" s="35"/>
      <c r="AR28" s="35"/>
      <c r="AS28" s="35"/>
      <c r="AT28" s="35"/>
      <c r="AU28" s="37"/>
      <c r="AV28" s="38"/>
      <c r="AW28" s="35"/>
      <c r="AX28" s="39"/>
      <c r="AY28" s="39"/>
      <c r="AZ28" s="37"/>
      <c r="BA28" s="38"/>
      <c r="BB28" s="35"/>
      <c r="BC28" s="39"/>
      <c r="BD28" s="39"/>
      <c r="BE28" s="37"/>
      <c r="BF28" s="36"/>
      <c r="BG28" s="35"/>
      <c r="BH28" s="35"/>
      <c r="BI28" s="35"/>
      <c r="BJ28" s="35"/>
      <c r="BK28" s="37"/>
      <c r="BL28" s="35"/>
      <c r="BM28" s="35"/>
      <c r="BN28" s="35"/>
      <c r="BO28" s="41"/>
      <c r="BP28" s="81"/>
      <c r="BQ28" s="12">
        <f t="shared" si="22"/>
        <v>0</v>
      </c>
      <c r="BR28" s="13">
        <f t="shared" si="23"/>
        <v>0</v>
      </c>
    </row>
    <row r="29" spans="1:72" s="4" customFormat="1" ht="21" customHeight="1">
      <c r="A29" s="7"/>
      <c r="B29" s="8"/>
      <c r="C29" s="19"/>
      <c r="D29" s="21"/>
      <c r="E29" s="11">
        <f t="shared" si="15"/>
        <v>0</v>
      </c>
      <c r="F29" s="34"/>
      <c r="G29" s="35"/>
      <c r="H29" s="35"/>
      <c r="I29" s="35"/>
      <c r="J29" s="35"/>
      <c r="K29" s="36"/>
      <c r="L29" s="35"/>
      <c r="M29" s="35"/>
      <c r="N29" s="35"/>
      <c r="O29" s="35"/>
      <c r="P29" s="36"/>
      <c r="Q29" s="35"/>
      <c r="R29" s="35"/>
      <c r="S29" s="35"/>
      <c r="T29" s="35"/>
      <c r="U29" s="37"/>
      <c r="V29" s="38"/>
      <c r="W29" s="35"/>
      <c r="X29" s="39"/>
      <c r="Y29" s="39"/>
      <c r="Z29" s="37"/>
      <c r="AA29" s="34"/>
      <c r="AB29" s="35"/>
      <c r="AC29" s="35"/>
      <c r="AD29" s="35"/>
      <c r="AE29" s="37"/>
      <c r="AF29" s="35"/>
      <c r="AG29" s="35"/>
      <c r="AH29" s="35"/>
      <c r="AI29" s="35"/>
      <c r="AJ29" s="40"/>
      <c r="AK29" s="35"/>
      <c r="AL29" s="35"/>
      <c r="AM29" s="35"/>
      <c r="AN29" s="35"/>
      <c r="AO29" s="40"/>
      <c r="AP29" s="36"/>
      <c r="AQ29" s="35"/>
      <c r="AR29" s="35"/>
      <c r="AS29" s="35"/>
      <c r="AT29" s="35"/>
      <c r="AU29" s="37"/>
      <c r="AV29" s="38"/>
      <c r="AW29" s="35"/>
      <c r="AX29" s="39"/>
      <c r="AY29" s="39"/>
      <c r="AZ29" s="37"/>
      <c r="BA29" s="38"/>
      <c r="BB29" s="35"/>
      <c r="BC29" s="39"/>
      <c r="BD29" s="39"/>
      <c r="BE29" s="37"/>
      <c r="BF29" s="36"/>
      <c r="BG29" s="35"/>
      <c r="BH29" s="35"/>
      <c r="BI29" s="35"/>
      <c r="BJ29" s="35"/>
      <c r="BK29" s="37"/>
      <c r="BL29" s="35"/>
      <c r="BM29" s="35"/>
      <c r="BN29" s="35"/>
      <c r="BO29" s="41"/>
      <c r="BP29" s="81"/>
      <c r="BQ29" s="12">
        <f t="shared" si="16"/>
        <v>0</v>
      </c>
      <c r="BR29" s="13">
        <f t="shared" si="17"/>
        <v>0</v>
      </c>
    </row>
    <row r="30" spans="1:72" ht="21" customHeight="1">
      <c r="A30" s="7"/>
      <c r="B30" s="8"/>
      <c r="C30" s="19"/>
      <c r="D30" s="20"/>
      <c r="E30" s="11">
        <f t="shared" si="15"/>
        <v>0</v>
      </c>
      <c r="F30" s="34"/>
      <c r="G30" s="35"/>
      <c r="H30" s="35"/>
      <c r="I30" s="35"/>
      <c r="J30" s="35"/>
      <c r="K30" s="36"/>
      <c r="L30" s="35"/>
      <c r="M30" s="35"/>
      <c r="N30" s="35"/>
      <c r="O30" s="35"/>
      <c r="P30" s="36"/>
      <c r="Q30" s="35"/>
      <c r="R30" s="35"/>
      <c r="S30" s="35"/>
      <c r="T30" s="35"/>
      <c r="U30" s="37"/>
      <c r="V30" s="38"/>
      <c r="W30" s="35"/>
      <c r="X30" s="39"/>
      <c r="Y30" s="39"/>
      <c r="Z30" s="37"/>
      <c r="AA30" s="34"/>
      <c r="AB30" s="35"/>
      <c r="AC30" s="35"/>
      <c r="AD30" s="35"/>
      <c r="AE30" s="37"/>
      <c r="AF30" s="35"/>
      <c r="AG30" s="35"/>
      <c r="AH30" s="35"/>
      <c r="AI30" s="35"/>
      <c r="AJ30" s="40"/>
      <c r="AK30" s="35"/>
      <c r="AL30" s="35"/>
      <c r="AM30" s="35"/>
      <c r="AN30" s="35"/>
      <c r="AO30" s="40"/>
      <c r="AP30" s="36"/>
      <c r="AQ30" s="35"/>
      <c r="AR30" s="35"/>
      <c r="AS30" s="35"/>
      <c r="AT30" s="35"/>
      <c r="AU30" s="37"/>
      <c r="AV30" s="38"/>
      <c r="AW30" s="35"/>
      <c r="AX30" s="39"/>
      <c r="AY30" s="39"/>
      <c r="AZ30" s="37"/>
      <c r="BA30" s="38"/>
      <c r="BB30" s="35"/>
      <c r="BC30" s="39"/>
      <c r="BD30" s="39"/>
      <c r="BE30" s="37"/>
      <c r="BF30" s="36"/>
      <c r="BG30" s="35"/>
      <c r="BH30" s="35"/>
      <c r="BI30" s="35"/>
      <c r="BJ30" s="35"/>
      <c r="BK30" s="37"/>
      <c r="BL30" s="35"/>
      <c r="BM30" s="35"/>
      <c r="BN30" s="35"/>
      <c r="BO30" s="41"/>
      <c r="BP30" s="81"/>
      <c r="BQ30" s="12">
        <f t="shared" si="16"/>
        <v>0</v>
      </c>
      <c r="BR30" s="13">
        <f t="shared" si="17"/>
        <v>0</v>
      </c>
    </row>
  </sheetData>
  <sheetProtection selectLockedCells="1" selectUnlockedCells="1"/>
  <mergeCells count="55">
    <mergeCell ref="BL5:BQ5"/>
    <mergeCell ref="AO6:AP6"/>
    <mergeCell ref="AU6:AV6"/>
    <mergeCell ref="AV5:AZ5"/>
    <mergeCell ref="AZ7:BA7"/>
    <mergeCell ref="BE7:BF7"/>
    <mergeCell ref="BK7:BL7"/>
    <mergeCell ref="BQ6:BQ7"/>
    <mergeCell ref="AZ6:BA6"/>
    <mergeCell ref="BE6:BF6"/>
    <mergeCell ref="BK6:BL6"/>
    <mergeCell ref="AK5:AO5"/>
    <mergeCell ref="K5:O5"/>
    <mergeCell ref="P5:U5"/>
    <mergeCell ref="AO7:AP7"/>
    <mergeCell ref="AU7:AV7"/>
    <mergeCell ref="BA5:BE5"/>
    <mergeCell ref="AP4:AU4"/>
    <mergeCell ref="AV4:AZ4"/>
    <mergeCell ref="BA4:BE4"/>
    <mergeCell ref="BF4:BK4"/>
    <mergeCell ref="AP5:AU5"/>
    <mergeCell ref="BF5:BK5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J7:K7"/>
    <mergeCell ref="O7:P7"/>
    <mergeCell ref="U7:V7"/>
    <mergeCell ref="Z7:AA7"/>
    <mergeCell ref="B5:B7"/>
    <mergeCell ref="C5:C7"/>
    <mergeCell ref="D5:D7"/>
    <mergeCell ref="E5:E7"/>
    <mergeCell ref="AF4:AJ4"/>
    <mergeCell ref="V5:Z5"/>
    <mergeCell ref="AA5:AE5"/>
    <mergeCell ref="AF5:AJ5"/>
    <mergeCell ref="AJ7:AK7"/>
    <mergeCell ref="AK4:AO4"/>
    <mergeCell ref="J6:K6"/>
    <mergeCell ref="O6:P6"/>
    <mergeCell ref="U6:V6"/>
    <mergeCell ref="Z6:AA6"/>
    <mergeCell ref="AJ6:AK6"/>
    <mergeCell ref="F5:J5"/>
  </mergeCells>
  <conditionalFormatting sqref="BR4:BR30">
    <cfRule type="cellIs" dxfId="29" priority="1" stopIfTrue="1" operator="lessThan">
      <formula>0</formula>
    </cfRule>
    <cfRule type="cellIs" dxfId="28" priority="2" stopIfTrue="1" operator="equal">
      <formula>0</formula>
    </cfRule>
    <cfRule type="cellIs" dxfId="27" priority="3" stopIfTrue="1" operator="greater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0" firstPageNumber="0" fitToWidth="0" orientation="landscape" horizontalDpi="300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3250-0E6E-4E41-93ED-016A10001203}">
  <sheetPr>
    <pageSetUpPr fitToPage="1"/>
  </sheetPr>
  <dimension ref="A1:BT26"/>
  <sheetViews>
    <sheetView zoomScale="112" zoomScaleNormal="112" workbookViewId="0">
      <pane ySplit="7" topLeftCell="A8" activePane="bottomLeft" state="frozen"/>
      <selection pane="bottomLeft" activeCell="K10" sqref="K10:O12"/>
    </sheetView>
  </sheetViews>
  <sheetFormatPr baseColWidth="10" defaultColWidth="11.5" defaultRowHeight="16"/>
  <cols>
    <col min="1" max="1" width="10.1640625" style="22" customWidth="1"/>
    <col min="2" max="2" width="3.832031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1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1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1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1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1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1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1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1" s="15" customFormat="1" ht="21" customHeight="1">
      <c r="A8" s="31" t="s">
        <v>87</v>
      </c>
      <c r="B8" s="8">
        <v>41.5</v>
      </c>
      <c r="C8" s="9">
        <v>188</v>
      </c>
      <c r="D8" s="10">
        <v>38</v>
      </c>
      <c r="E8" s="11">
        <f t="shared" ref="E8:E26" si="12">SUM(B8+C8+D8)</f>
        <v>267.5</v>
      </c>
      <c r="F8" s="186"/>
      <c r="G8" s="187"/>
      <c r="H8" s="187"/>
      <c r="I8" s="187"/>
      <c r="J8" s="187"/>
      <c r="K8" s="279"/>
      <c r="L8" s="187"/>
      <c r="M8" s="187"/>
      <c r="N8" s="187"/>
      <c r="O8" s="187"/>
      <c r="P8" s="36"/>
      <c r="Q8" s="35"/>
      <c r="R8" s="35"/>
      <c r="S8" s="35"/>
      <c r="T8" s="35"/>
      <c r="U8" s="37"/>
      <c r="V8" s="38"/>
      <c r="W8" s="35"/>
      <c r="X8" s="202">
        <v>24</v>
      </c>
      <c r="Y8" s="39"/>
      <c r="Z8" s="37"/>
      <c r="AA8" s="42"/>
      <c r="AB8" s="35"/>
      <c r="AC8" s="35"/>
      <c r="AD8" s="43"/>
      <c r="AE8" s="44"/>
      <c r="AF8" s="43"/>
      <c r="AG8" s="43"/>
      <c r="AH8" s="168">
        <v>48</v>
      </c>
      <c r="AI8" s="168">
        <v>24</v>
      </c>
      <c r="AJ8" s="45"/>
      <c r="AK8" s="43"/>
      <c r="AL8" s="43"/>
      <c r="AM8" s="43"/>
      <c r="AN8" s="43"/>
      <c r="AO8" s="45"/>
      <c r="AP8" s="36"/>
      <c r="AQ8" s="35"/>
      <c r="AR8" s="35"/>
      <c r="AS8" s="35">
        <v>36</v>
      </c>
      <c r="AT8" s="35"/>
      <c r="AU8" s="37"/>
      <c r="AV8" s="38"/>
      <c r="AW8" s="35"/>
      <c r="AX8" s="39"/>
      <c r="AY8" s="39"/>
      <c r="AZ8" s="37"/>
      <c r="BA8" s="38"/>
      <c r="BB8" s="35"/>
      <c r="BC8" s="210">
        <v>36</v>
      </c>
      <c r="BD8" s="210">
        <v>48</v>
      </c>
      <c r="BE8" s="37"/>
      <c r="BF8" s="36"/>
      <c r="BG8" s="35"/>
      <c r="BH8" s="35"/>
      <c r="BI8" s="35">
        <v>12</v>
      </c>
      <c r="BJ8" s="35"/>
      <c r="BK8" s="37"/>
      <c r="BL8" s="43"/>
      <c r="BM8" s="43">
        <v>12</v>
      </c>
      <c r="BN8" s="43"/>
      <c r="BO8" s="46"/>
      <c r="BP8" s="203">
        <v>24</v>
      </c>
      <c r="BQ8" s="12">
        <f t="shared" ref="BQ8:BQ26" si="13">SUM(F8:BP8)</f>
        <v>264</v>
      </c>
      <c r="BR8" s="13">
        <f t="shared" ref="BR8:BR26" si="14">E8-BQ8</f>
        <v>3.5</v>
      </c>
    </row>
    <row r="9" spans="1:71" s="14" customFormat="1" ht="21" customHeight="1">
      <c r="A9" s="30" t="s">
        <v>88</v>
      </c>
      <c r="B9" s="8">
        <v>38.5</v>
      </c>
      <c r="C9" s="9">
        <v>188</v>
      </c>
      <c r="D9" s="10">
        <v>38</v>
      </c>
      <c r="E9" s="11">
        <f t="shared" si="12"/>
        <v>264.5</v>
      </c>
      <c r="F9" s="186"/>
      <c r="G9" s="187"/>
      <c r="H9" s="187"/>
      <c r="I9" s="187"/>
      <c r="J9" s="187"/>
      <c r="K9" s="279"/>
      <c r="L9" s="187"/>
      <c r="M9" s="187">
        <v>42</v>
      </c>
      <c r="N9" s="187"/>
      <c r="O9" s="187"/>
      <c r="P9" s="36"/>
      <c r="Q9" s="35"/>
      <c r="R9" s="35"/>
      <c r="S9" s="35"/>
      <c r="T9" s="35"/>
      <c r="U9" s="37"/>
      <c r="V9" s="197">
        <v>24</v>
      </c>
      <c r="W9" s="35"/>
      <c r="X9" s="39"/>
      <c r="Y9" s="39"/>
      <c r="Z9" s="37"/>
      <c r="AA9" s="42"/>
      <c r="AB9" s="43"/>
      <c r="AC9" s="35"/>
      <c r="AD9" s="168"/>
      <c r="AE9" s="198">
        <v>36</v>
      </c>
      <c r="AF9" s="43"/>
      <c r="AG9" s="43"/>
      <c r="AH9" s="43"/>
      <c r="AI9" s="43"/>
      <c r="AJ9" s="47"/>
      <c r="AK9" s="43"/>
      <c r="AL9" s="43"/>
      <c r="AM9" s="43">
        <v>24</v>
      </c>
      <c r="AN9" s="43"/>
      <c r="AO9" s="45"/>
      <c r="AP9" s="36"/>
      <c r="AQ9" s="35"/>
      <c r="AR9" s="35"/>
      <c r="AS9" s="170">
        <v>24</v>
      </c>
      <c r="AT9" s="170">
        <v>24</v>
      </c>
      <c r="AU9" s="204">
        <v>12</v>
      </c>
      <c r="AV9" s="197">
        <v>12</v>
      </c>
      <c r="AW9" s="35"/>
      <c r="AX9" s="39"/>
      <c r="AY9" s="39"/>
      <c r="AZ9" s="37"/>
      <c r="BA9" s="38"/>
      <c r="BB9" s="35">
        <v>24</v>
      </c>
      <c r="BC9" s="39"/>
      <c r="BD9" s="39"/>
      <c r="BE9" s="37"/>
      <c r="BF9" s="36"/>
      <c r="BG9" s="35"/>
      <c r="BH9" s="35"/>
      <c r="BI9" s="35"/>
      <c r="BJ9" s="35"/>
      <c r="BK9" s="37"/>
      <c r="BL9" s="43">
        <v>12</v>
      </c>
      <c r="BM9" s="43"/>
      <c r="BN9" s="43"/>
      <c r="BO9" s="46"/>
      <c r="BP9" s="203">
        <v>24</v>
      </c>
      <c r="BQ9" s="12">
        <f t="shared" si="13"/>
        <v>258</v>
      </c>
      <c r="BR9" s="13">
        <f t="shared" si="14"/>
        <v>6.5</v>
      </c>
    </row>
    <row r="10" spans="1:71" s="14" customFormat="1" ht="21" customHeight="1">
      <c r="A10" s="30" t="s">
        <v>131</v>
      </c>
      <c r="B10" s="8">
        <v>8</v>
      </c>
      <c r="C10" s="19">
        <v>188</v>
      </c>
      <c r="D10" s="21">
        <v>38</v>
      </c>
      <c r="E10" s="11">
        <f t="shared" si="12"/>
        <v>234</v>
      </c>
      <c r="F10" s="186"/>
      <c r="G10" s="187"/>
      <c r="H10" s="187"/>
      <c r="I10" s="187"/>
      <c r="J10" s="187"/>
      <c r="K10" s="279"/>
      <c r="L10" s="187"/>
      <c r="M10" s="187"/>
      <c r="N10" s="187"/>
      <c r="O10" s="187"/>
      <c r="P10" s="36"/>
      <c r="Q10" s="35"/>
      <c r="R10" s="35"/>
      <c r="S10" s="35"/>
      <c r="T10" s="35"/>
      <c r="U10" s="37"/>
      <c r="V10" s="38"/>
      <c r="W10" s="35"/>
      <c r="X10" s="39"/>
      <c r="Y10" s="39"/>
      <c r="Z10" s="37"/>
      <c r="AA10" s="34"/>
      <c r="AB10" s="43"/>
      <c r="AC10" s="170">
        <v>12</v>
      </c>
      <c r="AD10" s="35"/>
      <c r="AE10" s="37"/>
      <c r="AF10" s="35"/>
      <c r="AG10" s="170">
        <v>12</v>
      </c>
      <c r="AH10" s="170">
        <v>36</v>
      </c>
      <c r="AI10" s="170">
        <v>12</v>
      </c>
      <c r="AJ10" s="40"/>
      <c r="AK10" s="35"/>
      <c r="AL10" s="170">
        <v>48</v>
      </c>
      <c r="AM10" s="35"/>
      <c r="AN10" s="35"/>
      <c r="AO10" s="40"/>
      <c r="AP10" s="36"/>
      <c r="AQ10" s="35"/>
      <c r="AR10" s="35"/>
      <c r="AS10" s="35"/>
      <c r="AT10" s="35"/>
      <c r="AU10" s="204">
        <v>12</v>
      </c>
      <c r="AV10" s="197">
        <v>36</v>
      </c>
      <c r="AW10" s="35"/>
      <c r="AX10" s="39"/>
      <c r="AY10" s="39"/>
      <c r="AZ10" s="37"/>
      <c r="BA10" s="38"/>
      <c r="BB10" s="35"/>
      <c r="BC10" s="39"/>
      <c r="BD10" s="39"/>
      <c r="BE10" s="37"/>
      <c r="BF10" s="36"/>
      <c r="BG10" s="35"/>
      <c r="BH10" s="35"/>
      <c r="BI10" s="35"/>
      <c r="BJ10" s="35"/>
      <c r="BK10" s="37">
        <v>12</v>
      </c>
      <c r="BL10" s="35"/>
      <c r="BM10" s="35"/>
      <c r="BN10" s="35"/>
      <c r="BO10" s="219">
        <v>24</v>
      </c>
      <c r="BP10" s="218">
        <v>24</v>
      </c>
      <c r="BQ10" s="12">
        <f t="shared" si="13"/>
        <v>228</v>
      </c>
      <c r="BR10" s="13">
        <f t="shared" si="14"/>
        <v>6</v>
      </c>
      <c r="BS10" s="16"/>
    </row>
    <row r="11" spans="1:71" s="4" customFormat="1" ht="21" customHeight="1">
      <c r="A11" s="32" t="s">
        <v>122</v>
      </c>
      <c r="B11" s="8">
        <v>41</v>
      </c>
      <c r="C11" s="9">
        <v>188</v>
      </c>
      <c r="D11" s="10">
        <v>38</v>
      </c>
      <c r="E11" s="11">
        <f t="shared" si="12"/>
        <v>267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/>
      <c r="AB11" s="170">
        <v>12</v>
      </c>
      <c r="AC11" s="35"/>
      <c r="AD11" s="43"/>
      <c r="AE11" s="44"/>
      <c r="AF11" s="43"/>
      <c r="AG11" s="43"/>
      <c r="AH11" s="217"/>
      <c r="AI11" s="43"/>
      <c r="AJ11" s="45"/>
      <c r="AK11" s="43"/>
      <c r="AL11" s="43"/>
      <c r="AM11" s="43"/>
      <c r="AN11" s="168">
        <v>48</v>
      </c>
      <c r="AO11" s="169">
        <v>36</v>
      </c>
      <c r="AP11" s="36"/>
      <c r="AQ11" s="170">
        <v>48</v>
      </c>
      <c r="AR11" s="35"/>
      <c r="AS11" s="35"/>
      <c r="AT11" s="35"/>
      <c r="AU11" s="37"/>
      <c r="AV11" s="38"/>
      <c r="AW11" s="170">
        <v>48</v>
      </c>
      <c r="AX11" s="202">
        <v>24</v>
      </c>
      <c r="AY11" s="39"/>
      <c r="AZ11" s="37"/>
      <c r="BA11" s="38"/>
      <c r="BB11" s="35"/>
      <c r="BC11" s="39"/>
      <c r="BD11" s="210"/>
      <c r="BE11" s="37"/>
      <c r="BF11" s="36"/>
      <c r="BG11" s="35"/>
      <c r="BH11" s="35">
        <v>36</v>
      </c>
      <c r="BI11" s="35"/>
      <c r="BJ11" s="35"/>
      <c r="BK11" s="37"/>
      <c r="BL11" s="43"/>
      <c r="BM11" s="43"/>
      <c r="BN11" s="43"/>
      <c r="BO11" s="46"/>
      <c r="BP11" s="203">
        <v>12</v>
      </c>
      <c r="BQ11" s="12">
        <f t="shared" si="13"/>
        <v>264</v>
      </c>
      <c r="BR11" s="13">
        <f t="shared" si="14"/>
        <v>3</v>
      </c>
    </row>
    <row r="12" spans="1:71" s="14" customFormat="1" ht="21" customHeight="1" thickBot="1">
      <c r="A12" s="33" t="s">
        <v>90</v>
      </c>
      <c r="B12" s="84">
        <v>52.5</v>
      </c>
      <c r="C12" s="85">
        <v>188</v>
      </c>
      <c r="D12" s="86">
        <v>38</v>
      </c>
      <c r="E12" s="87">
        <f t="shared" si="12"/>
        <v>278.5</v>
      </c>
      <c r="F12" s="192"/>
      <c r="G12" s="193"/>
      <c r="H12" s="193"/>
      <c r="I12" s="193"/>
      <c r="J12" s="193"/>
      <c r="K12" s="280"/>
      <c r="L12" s="193"/>
      <c r="M12" s="193"/>
      <c r="N12" s="193"/>
      <c r="O12" s="193">
        <v>23.5</v>
      </c>
      <c r="P12" s="90"/>
      <c r="Q12" s="89"/>
      <c r="R12" s="89"/>
      <c r="S12" s="89"/>
      <c r="T12" s="89"/>
      <c r="U12" s="91"/>
      <c r="V12" s="92"/>
      <c r="W12" s="89"/>
      <c r="X12" s="93"/>
      <c r="Y12" s="93"/>
      <c r="Z12" s="91"/>
      <c r="AA12" s="88"/>
      <c r="AB12" s="89"/>
      <c r="AC12" s="89"/>
      <c r="AD12" s="89"/>
      <c r="AE12" s="205">
        <v>12</v>
      </c>
      <c r="AF12" s="206">
        <v>36</v>
      </c>
      <c r="AG12" s="206">
        <v>48</v>
      </c>
      <c r="AH12" s="89"/>
      <c r="AI12" s="89"/>
      <c r="AJ12" s="94"/>
      <c r="AK12" s="89"/>
      <c r="AL12" s="89"/>
      <c r="AM12" s="89"/>
      <c r="AN12" s="89"/>
      <c r="AO12" s="94"/>
      <c r="AP12" s="90"/>
      <c r="AQ12" s="89">
        <v>24</v>
      </c>
      <c r="AR12" s="89">
        <v>36</v>
      </c>
      <c r="AS12" s="89"/>
      <c r="AT12" s="89"/>
      <c r="AU12" s="91"/>
      <c r="AV12" s="92"/>
      <c r="AW12" s="89"/>
      <c r="AX12" s="93"/>
      <c r="AY12" s="93"/>
      <c r="AZ12" s="91">
        <v>12</v>
      </c>
      <c r="BA12" s="92"/>
      <c r="BB12" s="89"/>
      <c r="BC12" s="93"/>
      <c r="BD12" s="93"/>
      <c r="BE12" s="91">
        <v>36</v>
      </c>
      <c r="BF12" s="90">
        <v>12</v>
      </c>
      <c r="BG12" s="89"/>
      <c r="BH12" s="89"/>
      <c r="BI12" s="89"/>
      <c r="BJ12" s="89"/>
      <c r="BK12" s="91"/>
      <c r="BL12" s="89">
        <v>12</v>
      </c>
      <c r="BM12" s="95"/>
      <c r="BN12" s="95"/>
      <c r="BO12" s="96"/>
      <c r="BP12" s="231">
        <v>24</v>
      </c>
      <c r="BQ12" s="97">
        <f t="shared" si="13"/>
        <v>275.5</v>
      </c>
      <c r="BR12" s="98">
        <f t="shared" si="14"/>
        <v>3</v>
      </c>
    </row>
    <row r="13" spans="1:71" s="4" customFormat="1" ht="21" customHeight="1">
      <c r="A13" s="106" t="s">
        <v>147</v>
      </c>
      <c r="B13" s="107">
        <v>0</v>
      </c>
      <c r="C13" s="108">
        <v>200</v>
      </c>
      <c r="D13" s="109">
        <v>40</v>
      </c>
      <c r="E13" s="110">
        <f t="shared" ref="E13" si="15">SUM(B13+C13+D13)</f>
        <v>240</v>
      </c>
      <c r="F13" s="188">
        <v>12</v>
      </c>
      <c r="G13" s="189"/>
      <c r="H13" s="189"/>
      <c r="I13" s="189"/>
      <c r="J13" s="189"/>
      <c r="K13" s="277"/>
      <c r="L13" s="278">
        <v>8</v>
      </c>
      <c r="M13" s="189"/>
      <c r="N13" s="189"/>
      <c r="O13" s="189">
        <v>12</v>
      </c>
      <c r="P13" s="275"/>
      <c r="Q13" s="112">
        <v>12</v>
      </c>
      <c r="R13" s="112"/>
      <c r="S13" s="112"/>
      <c r="T13" s="112"/>
      <c r="U13" s="114"/>
      <c r="V13" s="115"/>
      <c r="W13" s="112"/>
      <c r="X13" s="116"/>
      <c r="Y13" s="116"/>
      <c r="Z13" s="114"/>
      <c r="AA13" s="111"/>
      <c r="AB13" s="112"/>
      <c r="AC13" s="112"/>
      <c r="AD13" s="112"/>
      <c r="AE13" s="212">
        <v>12</v>
      </c>
      <c r="AF13" s="117"/>
      <c r="AG13" s="117"/>
      <c r="AH13" s="112"/>
      <c r="AI13" s="112"/>
      <c r="AJ13" s="118"/>
      <c r="AK13" s="112"/>
      <c r="AL13" s="112"/>
      <c r="AM13" s="112"/>
      <c r="AN13" s="112"/>
      <c r="AO13" s="226">
        <v>36</v>
      </c>
      <c r="AP13" s="113"/>
      <c r="AQ13" s="227">
        <v>44</v>
      </c>
      <c r="AR13" s="227">
        <v>36</v>
      </c>
      <c r="AS13" s="112"/>
      <c r="AT13" s="112"/>
      <c r="AU13" s="114"/>
      <c r="AV13" s="115"/>
      <c r="AW13" s="112">
        <v>36</v>
      </c>
      <c r="AX13" s="116"/>
      <c r="AY13" s="116"/>
      <c r="AZ13" s="114"/>
      <c r="BA13" s="115"/>
      <c r="BB13" s="112"/>
      <c r="BC13" s="116"/>
      <c r="BD13" s="116"/>
      <c r="BE13" s="114"/>
      <c r="BF13" s="113"/>
      <c r="BG13" s="112"/>
      <c r="BH13" s="112"/>
      <c r="BI13" s="112"/>
      <c r="BJ13" s="112"/>
      <c r="BK13" s="114"/>
      <c r="BL13" s="112"/>
      <c r="BM13" s="112"/>
      <c r="BN13" s="112"/>
      <c r="BO13" s="119">
        <v>24</v>
      </c>
      <c r="BP13" s="111"/>
      <c r="BQ13" s="120">
        <f t="shared" ref="BQ13" si="16">SUM(F13:BP13)</f>
        <v>232</v>
      </c>
      <c r="BR13" s="121">
        <f t="shared" ref="BR13" si="17">E13-BQ13</f>
        <v>8</v>
      </c>
    </row>
    <row r="14" spans="1:71" ht="21" customHeight="1">
      <c r="A14" s="26" t="s">
        <v>146</v>
      </c>
      <c r="B14" s="54">
        <v>14</v>
      </c>
      <c r="C14" s="104">
        <v>200</v>
      </c>
      <c r="D14" s="105">
        <v>40</v>
      </c>
      <c r="E14" s="57">
        <f t="shared" si="12"/>
        <v>254</v>
      </c>
      <c r="F14" s="190"/>
      <c r="G14" s="191"/>
      <c r="H14" s="191"/>
      <c r="I14" s="191"/>
      <c r="J14" s="191"/>
      <c r="K14" s="276"/>
      <c r="L14" s="191"/>
      <c r="M14" s="191"/>
      <c r="N14" s="191"/>
      <c r="O14" s="191"/>
      <c r="P14" s="60"/>
      <c r="Q14" s="59"/>
      <c r="R14" s="59"/>
      <c r="S14" s="59"/>
      <c r="T14" s="59"/>
      <c r="U14" s="61"/>
      <c r="V14" s="62"/>
      <c r="W14" s="59">
        <v>12</v>
      </c>
      <c r="X14" s="63"/>
      <c r="Y14" s="63"/>
      <c r="Z14" s="61"/>
      <c r="AA14" s="58"/>
      <c r="AB14" s="59"/>
      <c r="AC14" s="59"/>
      <c r="AD14" s="59"/>
      <c r="AE14" s="61"/>
      <c r="AF14" s="59"/>
      <c r="AG14" s="59"/>
      <c r="AH14" s="59"/>
      <c r="AI14" s="213">
        <v>8</v>
      </c>
      <c r="AJ14" s="214">
        <v>12</v>
      </c>
      <c r="AK14" s="213">
        <v>24</v>
      </c>
      <c r="AL14" s="213">
        <v>32</v>
      </c>
      <c r="AM14" s="213">
        <v>12</v>
      </c>
      <c r="AN14" s="59"/>
      <c r="AO14" s="64"/>
      <c r="AP14" s="60"/>
      <c r="AQ14" s="59"/>
      <c r="AR14" s="59">
        <v>24</v>
      </c>
      <c r="AS14" s="59"/>
      <c r="AT14" s="59">
        <v>44</v>
      </c>
      <c r="AU14" s="61">
        <v>36</v>
      </c>
      <c r="AV14" s="62"/>
      <c r="AW14" s="59"/>
      <c r="AX14" s="63"/>
      <c r="AY14" s="63"/>
      <c r="AZ14" s="61"/>
      <c r="BA14" s="62"/>
      <c r="BB14" s="59"/>
      <c r="BC14" s="63"/>
      <c r="BD14" s="63"/>
      <c r="BE14" s="61"/>
      <c r="BF14" s="60"/>
      <c r="BG14" s="59"/>
      <c r="BH14" s="59"/>
      <c r="BI14" s="59">
        <v>12</v>
      </c>
      <c r="BJ14" s="59"/>
      <c r="BK14" s="61"/>
      <c r="BL14" s="59"/>
      <c r="BM14" s="59">
        <v>12</v>
      </c>
      <c r="BN14" s="59">
        <v>12</v>
      </c>
      <c r="BO14" s="65">
        <v>12</v>
      </c>
      <c r="BP14" s="58"/>
      <c r="BQ14" s="66">
        <f t="shared" si="13"/>
        <v>252</v>
      </c>
      <c r="BR14" s="67">
        <f t="shared" si="14"/>
        <v>2</v>
      </c>
    </row>
    <row r="15" spans="1:71" s="17" customFormat="1" ht="21" customHeight="1">
      <c r="A15" s="7" t="s">
        <v>85</v>
      </c>
      <c r="B15" s="8">
        <v>18.5</v>
      </c>
      <c r="C15" s="9">
        <v>200</v>
      </c>
      <c r="D15" s="10">
        <v>40</v>
      </c>
      <c r="E15" s="11">
        <f t="shared" ref="E15" si="18">SUM(B15+C15+D15)</f>
        <v>258.5</v>
      </c>
      <c r="F15" s="186"/>
      <c r="G15" s="187">
        <v>16</v>
      </c>
      <c r="H15" s="187"/>
      <c r="I15" s="187"/>
      <c r="J15" s="187"/>
      <c r="K15" s="279"/>
      <c r="L15" s="187"/>
      <c r="M15" s="208">
        <v>8</v>
      </c>
      <c r="N15" s="187"/>
      <c r="O15" s="187"/>
      <c r="P15" s="36"/>
      <c r="Q15" s="35"/>
      <c r="R15" s="35"/>
      <c r="S15" s="170">
        <v>16</v>
      </c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204">
        <v>40</v>
      </c>
      <c r="AF15" s="35"/>
      <c r="AG15" s="35"/>
      <c r="AH15" s="35"/>
      <c r="AI15" s="35"/>
      <c r="AJ15" s="40"/>
      <c r="AK15" s="35"/>
      <c r="AL15" s="35"/>
      <c r="AM15" s="35"/>
      <c r="AN15" s="170">
        <v>40</v>
      </c>
      <c r="AO15" s="215">
        <v>40</v>
      </c>
      <c r="AP15" s="36"/>
      <c r="AQ15" s="35"/>
      <c r="AR15" s="35"/>
      <c r="AS15" s="170">
        <v>40</v>
      </c>
      <c r="AT15" s="170">
        <v>40</v>
      </c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>
        <v>24</v>
      </c>
      <c r="BP15" s="34"/>
      <c r="BQ15" s="12">
        <f t="shared" ref="BQ15" si="19">SUM(F15:BP15)</f>
        <v>264</v>
      </c>
      <c r="BR15" s="13">
        <f t="shared" ref="BR15" si="20">E15-BQ15</f>
        <v>-5.5</v>
      </c>
    </row>
    <row r="16" spans="1:71" s="17" customFormat="1" ht="21" customHeight="1">
      <c r="A16" s="7" t="s">
        <v>130</v>
      </c>
      <c r="B16" s="8">
        <v>6</v>
      </c>
      <c r="C16" s="19">
        <v>200</v>
      </c>
      <c r="D16" s="21">
        <v>40</v>
      </c>
      <c r="E16" s="11">
        <f t="shared" si="12"/>
        <v>246</v>
      </c>
      <c r="F16" s="186"/>
      <c r="G16" s="187">
        <v>20</v>
      </c>
      <c r="H16" s="187"/>
      <c r="I16" s="187"/>
      <c r="J16" s="187"/>
      <c r="K16" s="279"/>
      <c r="L16" s="187"/>
      <c r="M16" s="208">
        <v>8</v>
      </c>
      <c r="N16" s="187"/>
      <c r="O16" s="187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170">
        <v>36</v>
      </c>
      <c r="AJ16" s="215">
        <v>44</v>
      </c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197">
        <v>44</v>
      </c>
      <c r="AW16" s="170">
        <v>36</v>
      </c>
      <c r="AX16" s="39"/>
      <c r="AY16" s="39"/>
      <c r="AZ16" s="37"/>
      <c r="BA16" s="38">
        <v>36</v>
      </c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>
        <v>24</v>
      </c>
      <c r="BO16" s="41"/>
      <c r="BP16" s="42"/>
      <c r="BQ16" s="12">
        <f t="shared" si="13"/>
        <v>248</v>
      </c>
      <c r="BR16" s="13">
        <f t="shared" si="14"/>
        <v>-2</v>
      </c>
    </row>
    <row r="17" spans="1:72" s="17" customFormat="1" ht="21" customHeight="1">
      <c r="A17" s="28" t="s">
        <v>124</v>
      </c>
      <c r="B17" s="183">
        <v>0</v>
      </c>
      <c r="C17" s="184">
        <v>200</v>
      </c>
      <c r="D17" s="185">
        <v>40</v>
      </c>
      <c r="E17" s="11">
        <f t="shared" ref="E17" si="21">SUM(B17+C17+D17)</f>
        <v>240</v>
      </c>
      <c r="F17" s="186"/>
      <c r="G17" s="187">
        <v>8</v>
      </c>
      <c r="H17" s="187"/>
      <c r="I17" s="187"/>
      <c r="J17" s="187"/>
      <c r="K17" s="279"/>
      <c r="L17" s="187">
        <v>36</v>
      </c>
      <c r="M17" s="187"/>
      <c r="N17" s="187"/>
      <c r="O17" s="187">
        <v>12</v>
      </c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170">
        <v>24</v>
      </c>
      <c r="AM17" s="35"/>
      <c r="AN17" s="170">
        <v>36</v>
      </c>
      <c r="AO17" s="215">
        <v>44</v>
      </c>
      <c r="AP17" s="36"/>
      <c r="AQ17" s="170">
        <v>36</v>
      </c>
      <c r="AR17" s="35"/>
      <c r="AS17" s="35"/>
      <c r="AT17" s="35"/>
      <c r="AU17" s="37"/>
      <c r="AV17" s="38"/>
      <c r="AW17" s="35"/>
      <c r="AX17" s="39"/>
      <c r="AY17" s="216">
        <v>8</v>
      </c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203">
        <v>36</v>
      </c>
      <c r="BQ17" s="12">
        <f t="shared" ref="BQ17" si="22">SUM(F17:BP17)</f>
        <v>240</v>
      </c>
      <c r="BR17" s="13">
        <f t="shared" ref="BR17" si="23">E17-BQ17</f>
        <v>0</v>
      </c>
    </row>
    <row r="18" spans="1:72" s="14" customFormat="1" ht="21" customHeight="1" thickBot="1">
      <c r="A18" s="122" t="s">
        <v>153</v>
      </c>
      <c r="B18" s="123">
        <v>11.2</v>
      </c>
      <c r="C18" s="124">
        <v>200</v>
      </c>
      <c r="D18" s="125">
        <v>40</v>
      </c>
      <c r="E18" s="126">
        <f t="shared" ref="E18" si="24">SUM(B18+C18+D18)</f>
        <v>251.2</v>
      </c>
      <c r="F18" s="194"/>
      <c r="G18" s="195">
        <v>31</v>
      </c>
      <c r="H18" s="195"/>
      <c r="I18" s="195"/>
      <c r="J18" s="195"/>
      <c r="K18" s="281"/>
      <c r="L18" s="282">
        <v>6.5</v>
      </c>
      <c r="M18" s="282">
        <v>7.5</v>
      </c>
      <c r="N18" s="282">
        <v>8</v>
      </c>
      <c r="O18" s="195"/>
      <c r="P18" s="129"/>
      <c r="Q18" s="128"/>
      <c r="R18" s="128"/>
      <c r="S18" s="128"/>
      <c r="T18" s="128"/>
      <c r="U18" s="130"/>
      <c r="V18" s="220">
        <v>11</v>
      </c>
      <c r="W18" s="222">
        <v>7</v>
      </c>
      <c r="X18" s="132"/>
      <c r="Y18" s="132"/>
      <c r="Z18" s="130"/>
      <c r="AA18" s="127"/>
      <c r="AB18" s="128"/>
      <c r="AC18" s="221">
        <v>40</v>
      </c>
      <c r="AD18" s="128"/>
      <c r="AE18" s="130"/>
      <c r="AF18" s="128"/>
      <c r="AG18" s="128"/>
      <c r="AH18" s="221">
        <v>18</v>
      </c>
      <c r="AI18" s="221">
        <v>16</v>
      </c>
      <c r="AJ18" s="133"/>
      <c r="AK18" s="128"/>
      <c r="AL18" s="128"/>
      <c r="AM18" s="128"/>
      <c r="AN18" s="128"/>
      <c r="AO18" s="224">
        <v>40</v>
      </c>
      <c r="AP18" s="225"/>
      <c r="AQ18" s="128"/>
      <c r="AR18" s="221">
        <v>40</v>
      </c>
      <c r="AS18" s="128"/>
      <c r="AT18" s="128"/>
      <c r="AU18" s="130"/>
      <c r="AV18" s="131"/>
      <c r="AW18" s="128"/>
      <c r="AX18" s="132"/>
      <c r="AY18" s="132"/>
      <c r="AZ18" s="130"/>
      <c r="BA18" s="131"/>
      <c r="BB18" s="128"/>
      <c r="BC18" s="132"/>
      <c r="BD18" s="132"/>
      <c r="BE18" s="130"/>
      <c r="BF18" s="129"/>
      <c r="BG18" s="128"/>
      <c r="BH18" s="128"/>
      <c r="BI18" s="128"/>
      <c r="BJ18" s="128"/>
      <c r="BK18" s="130"/>
      <c r="BL18" s="128"/>
      <c r="BM18" s="128"/>
      <c r="BN18" s="128"/>
      <c r="BO18" s="272"/>
      <c r="BP18" s="223">
        <v>35</v>
      </c>
      <c r="BQ18" s="134">
        <f t="shared" ref="BQ18" si="25">SUM(F18:BP18)</f>
        <v>260</v>
      </c>
      <c r="BR18" s="135">
        <f t="shared" ref="BR18" si="26">E18-BQ18</f>
        <v>-8.8000000000000114</v>
      </c>
    </row>
    <row r="19" spans="1:72" s="14" customFormat="1" ht="21" customHeight="1">
      <c r="A19" s="83" t="s">
        <v>91</v>
      </c>
      <c r="B19" s="54">
        <v>17</v>
      </c>
      <c r="C19" s="55">
        <v>200</v>
      </c>
      <c r="D19" s="56">
        <v>0</v>
      </c>
      <c r="E19" s="57">
        <f t="shared" ref="E19" si="27">SUM(B19+C19+D19)</f>
        <v>217</v>
      </c>
      <c r="F19" s="190"/>
      <c r="G19" s="191">
        <v>8</v>
      </c>
      <c r="H19" s="191"/>
      <c r="I19" s="191"/>
      <c r="J19" s="191"/>
      <c r="K19" s="276"/>
      <c r="L19" s="191">
        <v>40</v>
      </c>
      <c r="M19" s="191">
        <v>40</v>
      </c>
      <c r="N19" s="191"/>
      <c r="O19" s="191"/>
      <c r="P19" s="60"/>
      <c r="Q19" s="59"/>
      <c r="R19" s="59"/>
      <c r="S19" s="59"/>
      <c r="T19" s="59"/>
      <c r="U19" s="61"/>
      <c r="V19" s="62"/>
      <c r="W19" s="59"/>
      <c r="X19" s="63"/>
      <c r="Y19" s="63"/>
      <c r="Z19" s="61"/>
      <c r="AA19" s="99"/>
      <c r="AB19" s="100"/>
      <c r="AC19" s="100"/>
      <c r="AD19" s="100"/>
      <c r="AE19" s="101"/>
      <c r="AF19" s="100"/>
      <c r="AG19" s="100"/>
      <c r="AH19" s="100"/>
      <c r="AI19" s="100"/>
      <c r="AJ19" s="102"/>
      <c r="AK19" s="59">
        <v>40</v>
      </c>
      <c r="AL19" s="100"/>
      <c r="AM19" s="100"/>
      <c r="AN19" s="100"/>
      <c r="AO19" s="102"/>
      <c r="AP19" s="60"/>
      <c r="AQ19" s="59"/>
      <c r="AR19" s="59"/>
      <c r="AS19" s="59"/>
      <c r="AT19" s="59">
        <v>40</v>
      </c>
      <c r="AU19" s="61"/>
      <c r="AV19" s="62"/>
      <c r="AW19" s="59"/>
      <c r="AX19" s="63"/>
      <c r="AY19" s="63"/>
      <c r="AZ19" s="61"/>
      <c r="BA19" s="62"/>
      <c r="BB19" s="59"/>
      <c r="BC19" s="63"/>
      <c r="BD19" s="63"/>
      <c r="BE19" s="61">
        <v>8</v>
      </c>
      <c r="BF19" s="60"/>
      <c r="BG19" s="59"/>
      <c r="BH19" s="59"/>
      <c r="BI19" s="59"/>
      <c r="BJ19" s="59"/>
      <c r="BK19" s="61"/>
      <c r="BL19" s="100"/>
      <c r="BM19" s="100"/>
      <c r="BN19" s="100"/>
      <c r="BO19" s="229">
        <v>24</v>
      </c>
      <c r="BP19" s="230">
        <v>16</v>
      </c>
      <c r="BQ19" s="66">
        <f t="shared" ref="BQ19" si="28">SUM(F19:BP19)</f>
        <v>216</v>
      </c>
      <c r="BR19" s="67">
        <f t="shared" ref="BR19" si="29">E19-BQ19</f>
        <v>1</v>
      </c>
    </row>
    <row r="20" spans="1:72" s="14" customFormat="1" ht="21" customHeight="1">
      <c r="A20" s="25"/>
      <c r="B20" s="8"/>
      <c r="C20" s="9"/>
      <c r="D20" s="8"/>
      <c r="E20" s="11">
        <f t="shared" si="12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43"/>
      <c r="S20" s="43"/>
      <c r="T20" s="43"/>
      <c r="U20" s="44"/>
      <c r="V20" s="38"/>
      <c r="W20" s="35"/>
      <c r="X20" s="39"/>
      <c r="Y20" s="39"/>
      <c r="Z20" s="37"/>
      <c r="AA20" s="42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43"/>
      <c r="AS20" s="43"/>
      <c r="AT20" s="43"/>
      <c r="AU20" s="44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43"/>
      <c r="BI20" s="43"/>
      <c r="BJ20" s="43"/>
      <c r="BK20" s="44"/>
      <c r="BL20" s="35"/>
      <c r="BM20" s="35"/>
      <c r="BN20" s="35"/>
      <c r="BO20" s="46"/>
      <c r="BP20" s="42"/>
      <c r="BQ20" s="12">
        <f t="shared" si="13"/>
        <v>0</v>
      </c>
      <c r="BR20" s="13">
        <f t="shared" si="14"/>
        <v>0</v>
      </c>
    </row>
    <row r="21" spans="1:72" s="14" customFormat="1" ht="21" customHeight="1">
      <c r="A21" s="7"/>
      <c r="B21" s="8"/>
      <c r="C21" s="9"/>
      <c r="D21" s="10"/>
      <c r="E21" s="11">
        <f t="shared" si="12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3"/>
        <v>0</v>
      </c>
      <c r="BR21" s="13">
        <f t="shared" si="14"/>
        <v>0</v>
      </c>
      <c r="BT21" s="14" t="s">
        <v>72</v>
      </c>
    </row>
    <row r="22" spans="1:72" s="4" customFormat="1" ht="21" customHeight="1">
      <c r="A22" s="7"/>
      <c r="B22" s="8"/>
      <c r="C22" s="9"/>
      <c r="D22" s="18"/>
      <c r="E22" s="11">
        <f t="shared" si="12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3"/>
        <v>0</v>
      </c>
      <c r="BR22" s="13">
        <f t="shared" si="14"/>
        <v>0</v>
      </c>
    </row>
    <row r="23" spans="1:72" ht="21" customHeight="1">
      <c r="A23" s="7"/>
      <c r="B23" s="8"/>
      <c r="C23" s="19"/>
      <c r="D23" s="20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</row>
    <row r="24" spans="1:72" s="14" customFormat="1" ht="21" customHeight="1">
      <c r="A24" s="7"/>
      <c r="B24" s="8"/>
      <c r="C24" s="19"/>
      <c r="D24" s="21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  <c r="BT24" s="14" t="s">
        <v>72</v>
      </c>
    </row>
    <row r="25" spans="1:72" s="4" customFormat="1" ht="21" customHeight="1">
      <c r="A25" s="7"/>
      <c r="B25" s="8"/>
      <c r="C25" s="19"/>
      <c r="D25" s="21"/>
      <c r="E25" s="11">
        <f t="shared" si="12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3"/>
        <v>0</v>
      </c>
      <c r="BR25" s="13">
        <f t="shared" si="14"/>
        <v>0</v>
      </c>
    </row>
    <row r="26" spans="1:72" ht="21" customHeight="1">
      <c r="A26" s="7"/>
      <c r="B26" s="8"/>
      <c r="C26" s="19"/>
      <c r="D26" s="20"/>
      <c r="E26" s="11">
        <f t="shared" si="12"/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34"/>
      <c r="BQ26" s="12">
        <f t="shared" si="13"/>
        <v>0</v>
      </c>
      <c r="BR26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6">
    <cfRule type="cellIs" dxfId="26" priority="1" stopIfTrue="1" operator="lessThan">
      <formula>0</formula>
    </cfRule>
    <cfRule type="cellIs" dxfId="25" priority="2" stopIfTrue="1" operator="equal">
      <formula>0</formula>
    </cfRule>
    <cfRule type="cellIs" dxfId="24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68" firstPageNumber="0" orientation="landscape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9E5B-53F5-45A3-AEB7-5D43F85F2313}">
  <dimension ref="A1:BS26"/>
  <sheetViews>
    <sheetView tabSelected="1" zoomScaleNormal="100" workbookViewId="0">
      <pane ySplit="7" topLeftCell="A8" activePane="bottomLeft" state="frozen"/>
      <selection pane="bottomLeft" activeCell="BH13" sqref="BH13"/>
    </sheetView>
  </sheetViews>
  <sheetFormatPr baseColWidth="10" defaultColWidth="11.5" defaultRowHeight="16"/>
  <cols>
    <col min="1" max="1" width="10.1640625" style="22" customWidth="1"/>
    <col min="2" max="2" width="2.832031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1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1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1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1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1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1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1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1" s="14" customFormat="1" ht="21" customHeight="1">
      <c r="A8" s="152" t="s">
        <v>96</v>
      </c>
      <c r="B8" s="54">
        <v>22.5</v>
      </c>
      <c r="C8" s="55">
        <v>188</v>
      </c>
      <c r="D8" s="56">
        <v>38</v>
      </c>
      <c r="E8" s="57">
        <f t="shared" ref="E8:E16" si="12">SUM(B8+C8+D8)</f>
        <v>248.5</v>
      </c>
      <c r="F8" s="190"/>
      <c r="G8" s="191"/>
      <c r="H8" s="191"/>
      <c r="I8" s="191"/>
      <c r="J8" s="191"/>
      <c r="K8" s="276"/>
      <c r="L8" s="191"/>
      <c r="M8" s="191"/>
      <c r="N8" s="191"/>
      <c r="O8" s="191"/>
      <c r="P8" s="60"/>
      <c r="Q8" s="59"/>
      <c r="R8" s="59"/>
      <c r="S8" s="59"/>
      <c r="T8" s="59"/>
      <c r="U8" s="61"/>
      <c r="V8" s="62"/>
      <c r="W8" s="59"/>
      <c r="X8" s="63"/>
      <c r="Y8" s="63"/>
      <c r="Z8" s="61"/>
      <c r="AA8" s="58"/>
      <c r="AB8" s="59"/>
      <c r="AC8" s="59"/>
      <c r="AD8" s="59"/>
      <c r="AE8" s="61"/>
      <c r="AF8" s="59"/>
      <c r="AG8" s="59"/>
      <c r="AH8" s="59"/>
      <c r="AI8" s="59"/>
      <c r="AJ8" s="64"/>
      <c r="AK8" s="59"/>
      <c r="AL8" s="59"/>
      <c r="AM8" s="59"/>
      <c r="AN8" s="59"/>
      <c r="AO8" s="64"/>
      <c r="AP8" s="60"/>
      <c r="AQ8" s="59"/>
      <c r="AR8" s="59"/>
      <c r="AS8" s="59"/>
      <c r="AT8" s="59"/>
      <c r="AU8" s="61"/>
      <c r="AV8" s="62"/>
      <c r="AW8" s="59"/>
      <c r="AX8" s="63"/>
      <c r="AY8" s="63"/>
      <c r="AZ8" s="61"/>
      <c r="BA8" s="62"/>
      <c r="BB8" s="59"/>
      <c r="BC8" s="63"/>
      <c r="BD8" s="63"/>
      <c r="BE8" s="61"/>
      <c r="BF8" s="60"/>
      <c r="BG8" s="59"/>
      <c r="BH8" s="59"/>
      <c r="BI8" s="59"/>
      <c r="BJ8" s="59"/>
      <c r="BK8" s="61"/>
      <c r="BL8" s="59"/>
      <c r="BM8" s="59"/>
      <c r="BN8" s="59"/>
      <c r="BO8" s="65"/>
      <c r="BP8" s="58"/>
      <c r="BQ8" s="66">
        <f t="shared" ref="BQ8:BQ16" si="13">SUM(F8:BP8)</f>
        <v>0</v>
      </c>
      <c r="BR8" s="67">
        <f t="shared" ref="BR8:BR16" si="14">E8-BQ8</f>
        <v>248.5</v>
      </c>
    </row>
    <row r="9" spans="1:71" s="14" customFormat="1" ht="21" customHeight="1">
      <c r="A9" s="152" t="s">
        <v>133</v>
      </c>
      <c r="B9" s="8">
        <v>8</v>
      </c>
      <c r="C9" s="19">
        <v>188</v>
      </c>
      <c r="D9" s="21">
        <v>38</v>
      </c>
      <c r="E9" s="11">
        <f t="shared" si="12"/>
        <v>234</v>
      </c>
      <c r="F9" s="186"/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34"/>
      <c r="AB9" s="43"/>
      <c r="AC9" s="35"/>
      <c r="AD9" s="35"/>
      <c r="AE9" s="37"/>
      <c r="AF9" s="35"/>
      <c r="AG9" s="35"/>
      <c r="AH9" s="35">
        <v>48</v>
      </c>
      <c r="AI9" s="35"/>
      <c r="AJ9" s="40"/>
      <c r="AK9" s="35"/>
      <c r="AL9" s="35"/>
      <c r="AM9" s="35">
        <v>48</v>
      </c>
      <c r="AN9" s="35"/>
      <c r="AO9" s="40"/>
      <c r="AP9" s="36"/>
      <c r="AQ9" s="35"/>
      <c r="AR9" s="35"/>
      <c r="AS9" s="35"/>
      <c r="AT9" s="35"/>
      <c r="AU9" s="37"/>
      <c r="AV9" s="38"/>
      <c r="AW9" s="35">
        <v>48</v>
      </c>
      <c r="AX9" s="39"/>
      <c r="AY9" s="39"/>
      <c r="AZ9" s="37"/>
      <c r="BA9" s="38"/>
      <c r="BB9" s="35">
        <v>30</v>
      </c>
      <c r="BC9" s="39"/>
      <c r="BD9" s="39"/>
      <c r="BE9" s="37"/>
      <c r="BF9" s="36"/>
      <c r="BG9" s="35">
        <v>48</v>
      </c>
      <c r="BH9" s="35"/>
      <c r="BI9" s="35"/>
      <c r="BJ9" s="35"/>
      <c r="BK9" s="37"/>
      <c r="BL9" s="35"/>
      <c r="BM9" s="35">
        <v>12</v>
      </c>
      <c r="BN9" s="35"/>
      <c r="BO9" s="41"/>
      <c r="BP9" s="34"/>
      <c r="BQ9" s="12">
        <f t="shared" si="13"/>
        <v>234</v>
      </c>
      <c r="BR9" s="13">
        <f t="shared" si="14"/>
        <v>0</v>
      </c>
      <c r="BS9" s="16"/>
    </row>
    <row r="10" spans="1:71" s="4" customFormat="1" ht="21" customHeight="1">
      <c r="A10" s="152" t="s">
        <v>144</v>
      </c>
      <c r="B10" s="8">
        <v>22</v>
      </c>
      <c r="C10" s="9">
        <v>188</v>
      </c>
      <c r="D10" s="18">
        <v>38</v>
      </c>
      <c r="E10" s="11">
        <f t="shared" si="12"/>
        <v>248</v>
      </c>
      <c r="F10" s="186"/>
      <c r="G10" s="187"/>
      <c r="H10" s="187"/>
      <c r="I10" s="187"/>
      <c r="J10" s="187"/>
      <c r="K10" s="279"/>
      <c r="L10" s="187"/>
      <c r="M10" s="187"/>
      <c r="N10" s="187"/>
      <c r="O10" s="187"/>
      <c r="P10" s="36"/>
      <c r="Q10" s="35"/>
      <c r="R10" s="35"/>
      <c r="S10" s="35"/>
      <c r="T10" s="35">
        <v>12</v>
      </c>
      <c r="U10" s="37"/>
      <c r="V10" s="38"/>
      <c r="W10" s="35"/>
      <c r="X10" s="39"/>
      <c r="Y10" s="39"/>
      <c r="Z10" s="37"/>
      <c r="AA10" s="34"/>
      <c r="AB10" s="35"/>
      <c r="AC10" s="35"/>
      <c r="AD10" s="35"/>
      <c r="AE10" s="37"/>
      <c r="AF10" s="35"/>
      <c r="AG10" s="35"/>
      <c r="AH10" s="35">
        <v>24</v>
      </c>
      <c r="AI10" s="35"/>
      <c r="AJ10" s="40"/>
      <c r="AK10" s="35"/>
      <c r="AL10" s="35">
        <v>48</v>
      </c>
      <c r="AM10" s="35">
        <v>36</v>
      </c>
      <c r="AN10" s="35">
        <v>24</v>
      </c>
      <c r="AO10" s="40"/>
      <c r="AP10" s="36"/>
      <c r="AQ10" s="35"/>
      <c r="AR10" s="35"/>
      <c r="AS10" s="35">
        <v>12</v>
      </c>
      <c r="AT10" s="35">
        <v>12</v>
      </c>
      <c r="AU10" s="37">
        <v>8</v>
      </c>
      <c r="AV10" s="38"/>
      <c r="AW10" s="35"/>
      <c r="AX10" s="39"/>
      <c r="AY10" s="39"/>
      <c r="AZ10" s="37">
        <v>24</v>
      </c>
      <c r="BA10" s="38"/>
      <c r="BB10" s="35"/>
      <c r="BC10" s="39">
        <v>12</v>
      </c>
      <c r="BD10" s="39"/>
      <c r="BE10" s="37"/>
      <c r="BF10" s="36"/>
      <c r="BG10" s="35"/>
      <c r="BH10" s="35"/>
      <c r="BI10" s="35">
        <v>12</v>
      </c>
      <c r="BJ10" s="35"/>
      <c r="BK10" s="37"/>
      <c r="BL10" s="35"/>
      <c r="BM10" s="35"/>
      <c r="BN10" s="35"/>
      <c r="BO10" s="41"/>
      <c r="BP10" s="34">
        <v>24</v>
      </c>
      <c r="BQ10" s="12">
        <f t="shared" si="13"/>
        <v>248</v>
      </c>
      <c r="BR10" s="13">
        <f t="shared" si="14"/>
        <v>0</v>
      </c>
    </row>
    <row r="11" spans="1:71" s="4" customFormat="1" ht="21" customHeight="1">
      <c r="A11" s="152" t="s">
        <v>99</v>
      </c>
      <c r="B11" s="8">
        <v>16.75</v>
      </c>
      <c r="C11" s="9">
        <v>188</v>
      </c>
      <c r="D11" s="10">
        <v>38</v>
      </c>
      <c r="E11" s="11">
        <f t="shared" si="12"/>
        <v>242.75</v>
      </c>
      <c r="F11" s="186"/>
      <c r="G11" s="187"/>
      <c r="H11" s="187"/>
      <c r="I11" s="187"/>
      <c r="J11" s="187"/>
      <c r="K11" s="279">
        <v>12</v>
      </c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>
        <v>24</v>
      </c>
      <c r="X11" s="39">
        <v>3</v>
      </c>
      <c r="Y11" s="39"/>
      <c r="Z11" s="37"/>
      <c r="AA11" s="34"/>
      <c r="AB11" s="35"/>
      <c r="AC11" s="35"/>
      <c r="AD11" s="43"/>
      <c r="AE11" s="44"/>
      <c r="AF11" s="43"/>
      <c r="AG11" s="43"/>
      <c r="AH11" s="43"/>
      <c r="AI11" s="43"/>
      <c r="AJ11" s="45"/>
      <c r="AK11" s="43"/>
      <c r="AL11" s="43">
        <v>36</v>
      </c>
      <c r="AM11" s="43"/>
      <c r="AN11" s="43">
        <v>24</v>
      </c>
      <c r="AO11" s="45">
        <v>48</v>
      </c>
      <c r="AP11" s="36"/>
      <c r="AQ11" s="35"/>
      <c r="AR11" s="35"/>
      <c r="AS11" s="35"/>
      <c r="AT11" s="35">
        <v>36</v>
      </c>
      <c r="AU11" s="37"/>
      <c r="AV11" s="38"/>
      <c r="AW11" s="35"/>
      <c r="AX11" s="39"/>
      <c r="AY11" s="39"/>
      <c r="AZ11" s="37"/>
      <c r="BA11" s="38"/>
      <c r="BB11" s="35">
        <v>12</v>
      </c>
      <c r="BC11" s="39"/>
      <c r="BD11" s="39"/>
      <c r="BE11" s="37"/>
      <c r="BF11" s="36">
        <v>24</v>
      </c>
      <c r="BG11" s="35"/>
      <c r="BH11" s="35"/>
      <c r="BI11" s="35"/>
      <c r="BJ11" s="35"/>
      <c r="BK11" s="37"/>
      <c r="BL11" s="43"/>
      <c r="BM11" s="43"/>
      <c r="BN11" s="43"/>
      <c r="BO11" s="46">
        <v>24</v>
      </c>
      <c r="BP11" s="42"/>
      <c r="BQ11" s="12">
        <f t="shared" si="13"/>
        <v>243</v>
      </c>
      <c r="BR11" s="13">
        <f t="shared" si="14"/>
        <v>-0.25</v>
      </c>
    </row>
    <row r="12" spans="1:71" s="14" customFormat="1" ht="21" customHeight="1">
      <c r="A12" s="153" t="s">
        <v>143</v>
      </c>
      <c r="B12" s="8">
        <v>0</v>
      </c>
      <c r="C12" s="9">
        <v>188</v>
      </c>
      <c r="D12" s="8">
        <v>38</v>
      </c>
      <c r="E12" s="11">
        <f t="shared" ref="E12" si="15">SUM(B12+C12+D12)</f>
        <v>226</v>
      </c>
      <c r="F12" s="186"/>
      <c r="G12" s="187"/>
      <c r="H12" s="187"/>
      <c r="I12" s="187"/>
      <c r="J12" s="187"/>
      <c r="K12" s="279"/>
      <c r="L12" s="187"/>
      <c r="M12" s="187"/>
      <c r="N12" s="187"/>
      <c r="O12" s="187"/>
      <c r="P12" s="36"/>
      <c r="Q12" s="35"/>
      <c r="R12" s="43"/>
      <c r="S12" s="43"/>
      <c r="T12" s="43"/>
      <c r="U12" s="44"/>
      <c r="V12" s="38"/>
      <c r="W12" s="35"/>
      <c r="X12" s="39"/>
      <c r="Y12" s="39"/>
      <c r="Z12" s="37"/>
      <c r="AA12" s="42"/>
      <c r="AB12" s="35"/>
      <c r="AC12" s="35"/>
      <c r="AD12" s="35"/>
      <c r="AE12" s="37"/>
      <c r="AF12" s="35"/>
      <c r="AG12" s="35"/>
      <c r="AH12" s="35"/>
      <c r="AI12" s="35"/>
      <c r="AJ12" s="40"/>
      <c r="AK12" s="35"/>
      <c r="AL12" s="35"/>
      <c r="AM12" s="35"/>
      <c r="AN12" s="35"/>
      <c r="AO12" s="40"/>
      <c r="AP12" s="36"/>
      <c r="AQ12" s="35"/>
      <c r="AR12" s="43"/>
      <c r="AS12" s="43"/>
      <c r="AT12" s="43"/>
      <c r="AU12" s="44"/>
      <c r="AV12" s="38"/>
      <c r="AW12" s="35"/>
      <c r="AX12" s="39"/>
      <c r="AY12" s="39"/>
      <c r="AZ12" s="37"/>
      <c r="BA12" s="38"/>
      <c r="BB12" s="35"/>
      <c r="BC12" s="39"/>
      <c r="BD12" s="39"/>
      <c r="BE12" s="37"/>
      <c r="BF12" s="36"/>
      <c r="BG12" s="35"/>
      <c r="BH12" s="43"/>
      <c r="BI12" s="43"/>
      <c r="BJ12" s="43"/>
      <c r="BK12" s="44"/>
      <c r="BL12" s="35"/>
      <c r="BM12" s="35"/>
      <c r="BN12" s="35"/>
      <c r="BO12" s="46"/>
      <c r="BP12" s="42"/>
      <c r="BQ12" s="12">
        <f t="shared" ref="BQ12" si="16">SUM(F12:BP12)</f>
        <v>0</v>
      </c>
      <c r="BR12" s="13">
        <f t="shared" ref="BR12" si="17">E12-BQ12</f>
        <v>226</v>
      </c>
    </row>
    <row r="13" spans="1:71" s="14" customFormat="1" ht="21" customHeight="1">
      <c r="A13" s="152" t="s">
        <v>100</v>
      </c>
      <c r="B13" s="8">
        <v>28.5</v>
      </c>
      <c r="C13" s="9">
        <v>188</v>
      </c>
      <c r="D13" s="10">
        <v>38</v>
      </c>
      <c r="E13" s="11">
        <f t="shared" si="12"/>
        <v>254.5</v>
      </c>
      <c r="F13" s="186"/>
      <c r="G13" s="187"/>
      <c r="H13" s="187"/>
      <c r="I13" s="187"/>
      <c r="J13" s="187"/>
      <c r="K13" s="279"/>
      <c r="L13" s="187"/>
      <c r="M13" s="187"/>
      <c r="N13" s="187"/>
      <c r="O13" s="187"/>
      <c r="P13" s="36"/>
      <c r="Q13" s="35"/>
      <c r="R13" s="35"/>
      <c r="S13" s="35"/>
      <c r="T13" s="35"/>
      <c r="U13" s="37"/>
      <c r="V13" s="38"/>
      <c r="W13" s="35"/>
      <c r="X13" s="39"/>
      <c r="Y13" s="39"/>
      <c r="Z13" s="37"/>
      <c r="AA13" s="48"/>
      <c r="AB13" s="49"/>
      <c r="AC13" s="49"/>
      <c r="AD13" s="49"/>
      <c r="AE13" s="50"/>
      <c r="AF13" s="49"/>
      <c r="AG13" s="49"/>
      <c r="AH13" s="49"/>
      <c r="AI13" s="49"/>
      <c r="AJ13" s="51"/>
      <c r="AK13" s="49"/>
      <c r="AL13" s="49"/>
      <c r="AM13" s="49"/>
      <c r="AN13" s="49"/>
      <c r="AO13" s="51"/>
      <c r="AP13" s="36"/>
      <c r="AQ13" s="35"/>
      <c r="AR13" s="35"/>
      <c r="AS13" s="35"/>
      <c r="AT13" s="35"/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/>
      <c r="BF13" s="36"/>
      <c r="BG13" s="35"/>
      <c r="BH13" s="35"/>
      <c r="BI13" s="35"/>
      <c r="BJ13" s="35"/>
      <c r="BK13" s="37"/>
      <c r="BL13" s="49"/>
      <c r="BM13" s="49"/>
      <c r="BN13" s="49"/>
      <c r="BO13" s="52"/>
      <c r="BP13" s="48"/>
      <c r="BQ13" s="12">
        <f t="shared" si="13"/>
        <v>0</v>
      </c>
      <c r="BR13" s="13">
        <f t="shared" si="14"/>
        <v>254.5</v>
      </c>
    </row>
    <row r="14" spans="1:71" s="14" customFormat="1" ht="21" customHeight="1" thickBot="1">
      <c r="A14" s="154" t="s">
        <v>102</v>
      </c>
      <c r="B14" s="84">
        <v>30.5</v>
      </c>
      <c r="C14" s="85">
        <v>188</v>
      </c>
      <c r="D14" s="86">
        <v>38</v>
      </c>
      <c r="E14" s="87">
        <f t="shared" si="12"/>
        <v>256.5</v>
      </c>
      <c r="F14" s="192"/>
      <c r="G14" s="193"/>
      <c r="H14" s="193"/>
      <c r="I14" s="193"/>
      <c r="J14" s="193"/>
      <c r="K14" s="280"/>
      <c r="L14" s="193"/>
      <c r="M14" s="193">
        <v>46</v>
      </c>
      <c r="N14" s="193"/>
      <c r="O14" s="193"/>
      <c r="P14" s="90"/>
      <c r="Q14" s="89"/>
      <c r="R14" s="89"/>
      <c r="S14" s="89"/>
      <c r="T14" s="89"/>
      <c r="U14" s="91"/>
      <c r="V14" s="92"/>
      <c r="W14" s="89"/>
      <c r="X14" s="93"/>
      <c r="Y14" s="93"/>
      <c r="Z14" s="91"/>
      <c r="AA14" s="88"/>
      <c r="AB14" s="89"/>
      <c r="AC14" s="89"/>
      <c r="AD14" s="89"/>
      <c r="AE14" s="91"/>
      <c r="AF14" s="89"/>
      <c r="AG14" s="89"/>
      <c r="AH14" s="89"/>
      <c r="AI14" s="89"/>
      <c r="AJ14" s="94"/>
      <c r="AK14" s="89"/>
      <c r="AL14" s="89"/>
      <c r="AM14" s="89"/>
      <c r="AN14" s="89"/>
      <c r="AO14" s="94"/>
      <c r="AP14" s="90"/>
      <c r="AQ14" s="89"/>
      <c r="AR14" s="89"/>
      <c r="AS14" s="89"/>
      <c r="AT14" s="89"/>
      <c r="AU14" s="91"/>
      <c r="AV14" s="92"/>
      <c r="AW14" s="89"/>
      <c r="AX14" s="93"/>
      <c r="AY14" s="93"/>
      <c r="AZ14" s="91"/>
      <c r="BA14" s="92"/>
      <c r="BB14" s="89"/>
      <c r="BC14" s="93"/>
      <c r="BD14" s="93"/>
      <c r="BE14" s="91"/>
      <c r="BF14" s="90"/>
      <c r="BG14" s="89"/>
      <c r="BH14" s="89"/>
      <c r="BI14" s="89"/>
      <c r="BJ14" s="89"/>
      <c r="BK14" s="91"/>
      <c r="BL14" s="89"/>
      <c r="BM14" s="89"/>
      <c r="BN14" s="89"/>
      <c r="BO14" s="96"/>
      <c r="BP14" s="88"/>
      <c r="BQ14" s="136">
        <f t="shared" si="13"/>
        <v>46</v>
      </c>
      <c r="BR14" s="13">
        <f t="shared" si="14"/>
        <v>210.5</v>
      </c>
    </row>
    <row r="15" spans="1:71" s="14" customFormat="1" ht="21" customHeight="1">
      <c r="A15" s="26" t="s">
        <v>101</v>
      </c>
      <c r="B15" s="54">
        <v>77</v>
      </c>
      <c r="C15" s="55">
        <v>200</v>
      </c>
      <c r="D15" s="56">
        <v>40</v>
      </c>
      <c r="E15" s="57">
        <f t="shared" si="12"/>
        <v>317</v>
      </c>
      <c r="F15" s="190"/>
      <c r="G15" s="191"/>
      <c r="H15" s="191">
        <v>8</v>
      </c>
      <c r="I15" s="191"/>
      <c r="J15" s="191"/>
      <c r="K15" s="276">
        <v>8</v>
      </c>
      <c r="L15" s="191">
        <v>8</v>
      </c>
      <c r="M15" s="191"/>
      <c r="N15" s="191"/>
      <c r="O15" s="191">
        <v>8</v>
      </c>
      <c r="P15" s="60"/>
      <c r="Q15" s="59"/>
      <c r="R15" s="59">
        <v>8</v>
      </c>
      <c r="S15" s="59">
        <v>8</v>
      </c>
      <c r="T15" s="59"/>
      <c r="U15" s="61"/>
      <c r="V15" s="62"/>
      <c r="W15" s="59">
        <v>32</v>
      </c>
      <c r="X15" s="63"/>
      <c r="Y15" s="63"/>
      <c r="Z15" s="61">
        <v>8</v>
      </c>
      <c r="AA15" s="58"/>
      <c r="AB15" s="59">
        <v>32</v>
      </c>
      <c r="AC15" s="59"/>
      <c r="AD15" s="59"/>
      <c r="AE15" s="61">
        <v>16</v>
      </c>
      <c r="AF15" s="59"/>
      <c r="AG15" s="59">
        <v>16</v>
      </c>
      <c r="AH15" s="59"/>
      <c r="AI15" s="59">
        <v>16</v>
      </c>
      <c r="AJ15" s="64"/>
      <c r="AK15" s="59"/>
      <c r="AL15" s="59">
        <v>32</v>
      </c>
      <c r="AM15" s="59">
        <v>40</v>
      </c>
      <c r="AN15" s="59"/>
      <c r="AO15" s="64"/>
      <c r="AP15" s="60"/>
      <c r="AQ15" s="59"/>
      <c r="AR15" s="59"/>
      <c r="AS15" s="59">
        <v>40</v>
      </c>
      <c r="AT15" s="59"/>
      <c r="AU15" s="61"/>
      <c r="AV15" s="62"/>
      <c r="AW15" s="59"/>
      <c r="AX15" s="63"/>
      <c r="AY15" s="63"/>
      <c r="AZ15" s="61">
        <v>8</v>
      </c>
      <c r="BA15" s="62"/>
      <c r="BB15" s="59"/>
      <c r="BC15" s="63"/>
      <c r="BD15" s="63"/>
      <c r="BE15" s="61">
        <v>5</v>
      </c>
      <c r="BF15" s="60"/>
      <c r="BG15" s="59"/>
      <c r="BH15" s="59"/>
      <c r="BI15" s="59"/>
      <c r="BJ15" s="59"/>
      <c r="BK15" s="61"/>
      <c r="BL15" s="59"/>
      <c r="BM15" s="59"/>
      <c r="BN15" s="59"/>
      <c r="BO15" s="65">
        <v>8</v>
      </c>
      <c r="BP15" s="58">
        <v>16</v>
      </c>
      <c r="BQ15" s="66">
        <f t="shared" si="13"/>
        <v>317</v>
      </c>
      <c r="BR15" s="13">
        <f t="shared" si="14"/>
        <v>0</v>
      </c>
    </row>
    <row r="16" spans="1:71" s="17" customFormat="1" ht="21" customHeight="1" thickBot="1">
      <c r="A16" s="27" t="s">
        <v>137</v>
      </c>
      <c r="B16" s="84">
        <v>4</v>
      </c>
      <c r="C16" s="85">
        <v>200</v>
      </c>
      <c r="D16" s="86">
        <v>40</v>
      </c>
      <c r="E16" s="87">
        <f t="shared" si="12"/>
        <v>244</v>
      </c>
      <c r="F16" s="192"/>
      <c r="G16" s="193">
        <v>4</v>
      </c>
      <c r="H16" s="193"/>
      <c r="I16" s="193"/>
      <c r="J16" s="193"/>
      <c r="K16" s="280"/>
      <c r="L16" s="193"/>
      <c r="M16" s="193"/>
      <c r="N16" s="193"/>
      <c r="O16" s="193">
        <v>8</v>
      </c>
      <c r="P16" s="90"/>
      <c r="Q16" s="89"/>
      <c r="R16" s="89"/>
      <c r="S16" s="89"/>
      <c r="T16" s="89">
        <v>8</v>
      </c>
      <c r="U16" s="91"/>
      <c r="V16" s="92"/>
      <c r="W16" s="89">
        <v>8</v>
      </c>
      <c r="X16" s="93"/>
      <c r="Y16" s="93"/>
      <c r="Z16" s="91"/>
      <c r="AA16" s="88"/>
      <c r="AB16" s="89">
        <v>8</v>
      </c>
      <c r="AC16" s="89"/>
      <c r="AD16" s="89">
        <v>8</v>
      </c>
      <c r="AE16" s="91"/>
      <c r="AF16" s="89">
        <v>8</v>
      </c>
      <c r="AG16" s="89"/>
      <c r="AH16" s="89">
        <v>8</v>
      </c>
      <c r="AI16" s="89"/>
      <c r="AJ16" s="94"/>
      <c r="AK16" s="89"/>
      <c r="AL16" s="89">
        <v>16</v>
      </c>
      <c r="AM16" s="89"/>
      <c r="AN16" s="89">
        <v>40</v>
      </c>
      <c r="AO16" s="94">
        <v>8</v>
      </c>
      <c r="AP16" s="90"/>
      <c r="AQ16" s="89">
        <v>16</v>
      </c>
      <c r="AR16" s="89"/>
      <c r="AS16" s="89">
        <v>24</v>
      </c>
      <c r="AT16" s="89"/>
      <c r="AU16" s="91">
        <v>8</v>
      </c>
      <c r="AV16" s="92"/>
      <c r="AW16" s="89"/>
      <c r="AX16" s="93"/>
      <c r="AY16" s="93"/>
      <c r="AZ16" s="91">
        <v>8</v>
      </c>
      <c r="BA16" s="92"/>
      <c r="BB16" s="89">
        <v>8</v>
      </c>
      <c r="BC16" s="93"/>
      <c r="BD16" s="93"/>
      <c r="BE16" s="91">
        <v>8</v>
      </c>
      <c r="BF16" s="90"/>
      <c r="BG16" s="89">
        <v>8</v>
      </c>
      <c r="BH16" s="89"/>
      <c r="BI16" s="89"/>
      <c r="BJ16" s="89">
        <v>8</v>
      </c>
      <c r="BK16" s="91"/>
      <c r="BL16" s="89"/>
      <c r="BM16" s="89"/>
      <c r="BN16" s="89"/>
      <c r="BO16" s="96"/>
      <c r="BP16" s="88">
        <v>32</v>
      </c>
      <c r="BQ16" s="136">
        <f t="shared" si="13"/>
        <v>244</v>
      </c>
      <c r="BR16" s="13">
        <f t="shared" si="14"/>
        <v>0</v>
      </c>
    </row>
    <row r="17" spans="1:70" s="14" customFormat="1" ht="21" customHeight="1">
      <c r="A17" s="152" t="s">
        <v>98</v>
      </c>
      <c r="B17" s="8">
        <v>22</v>
      </c>
      <c r="C17" s="9">
        <v>150</v>
      </c>
      <c r="D17" s="10">
        <v>30</v>
      </c>
      <c r="E17" s="11">
        <f t="shared" ref="E17" si="18">SUM(B17+C17+D17)</f>
        <v>202</v>
      </c>
      <c r="F17" s="186"/>
      <c r="G17" s="187">
        <v>6</v>
      </c>
      <c r="H17" s="187"/>
      <c r="I17" s="187"/>
      <c r="J17" s="187"/>
      <c r="K17" s="279"/>
      <c r="L17" s="187">
        <v>18</v>
      </c>
      <c r="M17" s="187"/>
      <c r="N17" s="187"/>
      <c r="O17" s="187"/>
      <c r="P17" s="36"/>
      <c r="Q17" s="35"/>
      <c r="R17" s="35"/>
      <c r="S17" s="35"/>
      <c r="T17" s="35"/>
      <c r="U17" s="37">
        <v>6</v>
      </c>
      <c r="V17" s="38"/>
      <c r="W17" s="35"/>
      <c r="X17" s="39">
        <v>6</v>
      </c>
      <c r="Y17" s="39"/>
      <c r="Z17" s="37"/>
      <c r="AA17" s="42"/>
      <c r="AB17" s="43"/>
      <c r="AC17" s="35"/>
      <c r="AD17" s="43"/>
      <c r="AE17" s="44"/>
      <c r="AF17" s="43"/>
      <c r="AG17" s="43"/>
      <c r="AH17" s="43">
        <v>6</v>
      </c>
      <c r="AI17" s="43"/>
      <c r="AJ17" s="47"/>
      <c r="AK17" s="43"/>
      <c r="AL17" s="43">
        <v>24</v>
      </c>
      <c r="AM17" s="43"/>
      <c r="AN17" s="43"/>
      <c r="AO17" s="45"/>
      <c r="AP17" s="36">
        <v>30</v>
      </c>
      <c r="AQ17" s="35"/>
      <c r="AR17" s="35"/>
      <c r="AS17" s="35"/>
      <c r="AT17" s="35">
        <v>30</v>
      </c>
      <c r="AU17" s="37"/>
      <c r="AV17" s="38"/>
      <c r="AW17" s="35"/>
      <c r="AX17" s="39"/>
      <c r="AY17" s="39"/>
      <c r="AZ17" s="37">
        <v>12</v>
      </c>
      <c r="BA17" s="38"/>
      <c r="BB17" s="35"/>
      <c r="BC17" s="39"/>
      <c r="BD17" s="39"/>
      <c r="BE17" s="37"/>
      <c r="BF17" s="36"/>
      <c r="BG17" s="35">
        <v>18</v>
      </c>
      <c r="BH17" s="35"/>
      <c r="BI17" s="35"/>
      <c r="BJ17" s="35"/>
      <c r="BK17" s="37"/>
      <c r="BL17" s="43"/>
      <c r="BM17" s="43"/>
      <c r="BN17" s="43">
        <v>4</v>
      </c>
      <c r="BO17" s="46">
        <v>18</v>
      </c>
      <c r="BP17" s="42">
        <v>24</v>
      </c>
      <c r="BQ17" s="12">
        <f t="shared" ref="BQ17" si="19">SUM(F17:BP17)</f>
        <v>202</v>
      </c>
      <c r="BR17" s="13">
        <f t="shared" ref="BR17" si="20">E17-BQ17</f>
        <v>0</v>
      </c>
    </row>
    <row r="18" spans="1:70" s="4" customFormat="1" ht="21" customHeight="1">
      <c r="A18" s="152" t="s">
        <v>103</v>
      </c>
      <c r="B18" s="8">
        <v>7</v>
      </c>
      <c r="C18" s="19">
        <v>175</v>
      </c>
      <c r="D18" s="21">
        <v>0</v>
      </c>
      <c r="E18" s="11">
        <f t="shared" ref="E18:E23" si="21">SUM(B18+C18+D18)</f>
        <v>182</v>
      </c>
      <c r="F18" s="186">
        <v>17.5</v>
      </c>
      <c r="G18" s="187"/>
      <c r="H18" s="187"/>
      <c r="I18" s="187"/>
      <c r="J18" s="187"/>
      <c r="K18" s="279"/>
      <c r="L18" s="187"/>
      <c r="M18" s="187">
        <v>7</v>
      </c>
      <c r="N18" s="187"/>
      <c r="O18" s="187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42"/>
      <c r="BQ18" s="12">
        <f t="shared" ref="BQ18:BQ23" si="22">SUM(F18:BP18)</f>
        <v>24.5</v>
      </c>
      <c r="BR18" s="13">
        <f t="shared" ref="BR18:BR23" si="23">E18-BQ18</f>
        <v>157.5</v>
      </c>
    </row>
    <row r="19" spans="1:70" s="14" customFormat="1" ht="21" customHeight="1">
      <c r="A19" s="7"/>
      <c r="B19" s="8"/>
      <c r="C19" s="9"/>
      <c r="D19" s="10"/>
      <c r="E19" s="11">
        <f t="shared" si="21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34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35"/>
      <c r="AS19" s="35"/>
      <c r="AT19" s="35"/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35"/>
      <c r="BM19" s="35"/>
      <c r="BN19" s="35"/>
      <c r="BO19" s="41"/>
      <c r="BP19" s="34"/>
      <c r="BQ19" s="12">
        <f t="shared" si="22"/>
        <v>0</v>
      </c>
      <c r="BR19" s="13">
        <f t="shared" si="23"/>
        <v>0</v>
      </c>
    </row>
    <row r="20" spans="1:70" s="17" customFormat="1" ht="21" customHeight="1">
      <c r="A20" s="7"/>
      <c r="B20" s="8"/>
      <c r="C20" s="9"/>
      <c r="D20" s="10"/>
      <c r="E20" s="11">
        <f t="shared" ref="E20" si="24">SUM(B20+C20+D20)</f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35"/>
      <c r="AS20" s="35"/>
      <c r="AT20" s="35"/>
      <c r="AU20" s="37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35"/>
      <c r="BI20" s="35"/>
      <c r="BJ20" s="35"/>
      <c r="BK20" s="37"/>
      <c r="BL20" s="35"/>
      <c r="BM20" s="35"/>
      <c r="BN20" s="35"/>
      <c r="BO20" s="41"/>
      <c r="BP20" s="34"/>
      <c r="BQ20" s="12">
        <f t="shared" ref="BQ20" si="25">SUM(F20:BP20)</f>
        <v>0</v>
      </c>
      <c r="BR20" s="13">
        <f t="shared" ref="BR20" si="26">E20-BQ20</f>
        <v>0</v>
      </c>
    </row>
    <row r="21" spans="1:70" s="17" customFormat="1" ht="21" customHeight="1">
      <c r="A21" s="7"/>
      <c r="B21" s="8"/>
      <c r="C21" s="9"/>
      <c r="D21" s="10"/>
      <c r="E21" s="11">
        <f t="shared" ref="E21" si="27">SUM(B21+C21+D21)</f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ref="BQ21" si="28">SUM(F21:BP21)</f>
        <v>0</v>
      </c>
      <c r="BR21" s="13">
        <f t="shared" ref="BR21" si="29">E21-BQ21</f>
        <v>0</v>
      </c>
    </row>
    <row r="22" spans="1:70" s="17" customFormat="1" ht="21" customHeight="1">
      <c r="A22" s="7"/>
      <c r="B22" s="8"/>
      <c r="C22" s="9"/>
      <c r="D22" s="10"/>
      <c r="E22" s="11">
        <f t="shared" si="21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22"/>
        <v>0</v>
      </c>
      <c r="BR22" s="13">
        <f t="shared" si="23"/>
        <v>0</v>
      </c>
    </row>
    <row r="23" spans="1:70" s="15" customFormat="1" ht="21" customHeight="1">
      <c r="A23" s="83" t="s">
        <v>97</v>
      </c>
      <c r="B23" s="54">
        <v>154</v>
      </c>
      <c r="C23" s="55">
        <v>200</v>
      </c>
      <c r="D23" s="56">
        <v>21</v>
      </c>
      <c r="E23" s="57">
        <f t="shared" si="21"/>
        <v>375</v>
      </c>
      <c r="F23" s="190"/>
      <c r="G23" s="191"/>
      <c r="H23" s="191"/>
      <c r="I23" s="191"/>
      <c r="J23" s="191"/>
      <c r="K23" s="60"/>
      <c r="L23" s="59"/>
      <c r="M23" s="59"/>
      <c r="N23" s="59"/>
      <c r="O23" s="59"/>
      <c r="P23" s="60"/>
      <c r="Q23" s="59"/>
      <c r="R23" s="59"/>
      <c r="S23" s="59"/>
      <c r="T23" s="59"/>
      <c r="U23" s="61"/>
      <c r="V23" s="62"/>
      <c r="W23" s="59"/>
      <c r="X23" s="63"/>
      <c r="Y23" s="63"/>
      <c r="Z23" s="61"/>
      <c r="AA23" s="137"/>
      <c r="AB23" s="59"/>
      <c r="AC23" s="59"/>
      <c r="AD23" s="138"/>
      <c r="AE23" s="139"/>
      <c r="AF23" s="138"/>
      <c r="AG23" s="138"/>
      <c r="AH23" s="138"/>
      <c r="AI23" s="138"/>
      <c r="AJ23" s="140"/>
      <c r="AK23" s="138"/>
      <c r="AL23" s="138"/>
      <c r="AM23" s="138"/>
      <c r="AN23" s="138"/>
      <c r="AO23" s="140"/>
      <c r="AP23" s="60"/>
      <c r="AQ23" s="59"/>
      <c r="AR23" s="59"/>
      <c r="AS23" s="59"/>
      <c r="AT23" s="59"/>
      <c r="AU23" s="61"/>
      <c r="AV23" s="62"/>
      <c r="AW23" s="59"/>
      <c r="AX23" s="63"/>
      <c r="AY23" s="63"/>
      <c r="AZ23" s="61"/>
      <c r="BA23" s="62"/>
      <c r="BB23" s="59"/>
      <c r="BC23" s="63"/>
      <c r="BD23" s="63"/>
      <c r="BE23" s="61"/>
      <c r="BF23" s="60"/>
      <c r="BG23" s="59"/>
      <c r="BH23" s="59"/>
      <c r="BI23" s="59"/>
      <c r="BJ23" s="59"/>
      <c r="BK23" s="61"/>
      <c r="BL23" s="138"/>
      <c r="BM23" s="138"/>
      <c r="BN23" s="138"/>
      <c r="BO23" s="141"/>
      <c r="BP23" s="137"/>
      <c r="BQ23" s="66">
        <f t="shared" si="22"/>
        <v>0</v>
      </c>
      <c r="BR23" s="13">
        <f t="shared" si="23"/>
        <v>375</v>
      </c>
    </row>
    <row r="24" spans="1:70" s="14" customFormat="1" ht="21" customHeight="1">
      <c r="A24" s="7" t="s">
        <v>125</v>
      </c>
      <c r="B24" s="8">
        <v>0</v>
      </c>
      <c r="C24" s="9">
        <v>12</v>
      </c>
      <c r="D24" s="18">
        <v>3</v>
      </c>
      <c r="E24" s="11">
        <f t="shared" ref="E24:E26" si="30">SUM(B24+C24+D24)</f>
        <v>15</v>
      </c>
      <c r="F24" s="186"/>
      <c r="G24" s="187"/>
      <c r="H24" s="187">
        <v>15</v>
      </c>
      <c r="I24" s="187"/>
      <c r="J24" s="187"/>
      <c r="K24" s="142"/>
      <c r="L24" s="143"/>
      <c r="M24" s="143"/>
      <c r="N24" s="143"/>
      <c r="O24" s="143"/>
      <c r="P24" s="142"/>
      <c r="Q24" s="143"/>
      <c r="R24" s="143"/>
      <c r="S24" s="143"/>
      <c r="T24" s="143"/>
      <c r="U24" s="144"/>
      <c r="V24" s="145"/>
      <c r="W24" s="143"/>
      <c r="X24" s="146"/>
      <c r="Y24" s="146"/>
      <c r="Z24" s="144"/>
      <c r="AA24" s="147"/>
      <c r="AB24" s="143"/>
      <c r="AC24" s="143"/>
      <c r="AD24" s="143"/>
      <c r="AE24" s="144"/>
      <c r="AF24" s="143"/>
      <c r="AG24" s="143"/>
      <c r="AH24" s="143"/>
      <c r="AI24" s="143"/>
      <c r="AJ24" s="148"/>
      <c r="AK24" s="143"/>
      <c r="AL24" s="143"/>
      <c r="AM24" s="143"/>
      <c r="AN24" s="143"/>
      <c r="AO24" s="148"/>
      <c r="AP24" s="142"/>
      <c r="AQ24" s="143"/>
      <c r="AR24" s="143"/>
      <c r="AS24" s="143"/>
      <c r="AT24" s="143"/>
      <c r="AU24" s="144"/>
      <c r="AV24" s="145"/>
      <c r="AW24" s="143"/>
      <c r="AX24" s="146"/>
      <c r="AY24" s="146"/>
      <c r="AZ24" s="144"/>
      <c r="BA24" s="145"/>
      <c r="BB24" s="143"/>
      <c r="BC24" s="146"/>
      <c r="BD24" s="146"/>
      <c r="BE24" s="144"/>
      <c r="BF24" s="142"/>
      <c r="BG24" s="143"/>
      <c r="BH24" s="143"/>
      <c r="BI24" s="143"/>
      <c r="BJ24" s="143"/>
      <c r="BK24" s="144"/>
      <c r="BL24" s="143"/>
      <c r="BM24" s="149"/>
      <c r="BN24" s="149"/>
      <c r="BO24" s="150"/>
      <c r="BP24" s="147"/>
      <c r="BQ24" s="151">
        <f t="shared" ref="BQ24:BQ26" si="31">SUM(F24:BP24)</f>
        <v>15</v>
      </c>
      <c r="BR24" s="13">
        <f t="shared" ref="BR24:BR26" si="32">E24-BQ24</f>
        <v>0</v>
      </c>
    </row>
    <row r="25" spans="1:70" s="14" customFormat="1" ht="21" customHeight="1">
      <c r="A25" s="7"/>
      <c r="B25" s="8"/>
      <c r="C25" s="9"/>
      <c r="D25" s="10"/>
      <c r="E25" s="11">
        <f t="shared" si="30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31"/>
        <v>0</v>
      </c>
      <c r="BR25" s="13">
        <f t="shared" si="32"/>
        <v>0</v>
      </c>
    </row>
    <row r="26" spans="1:70" s="17" customFormat="1" ht="21" customHeight="1">
      <c r="A26" s="7"/>
      <c r="B26" s="8"/>
      <c r="C26" s="9"/>
      <c r="D26" s="10"/>
      <c r="E26" s="11">
        <f t="shared" si="30"/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34"/>
      <c r="BQ26" s="12">
        <f t="shared" si="31"/>
        <v>0</v>
      </c>
      <c r="BR26" s="13">
        <f t="shared" si="32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6">
    <cfRule type="cellIs" dxfId="23" priority="1" stopIfTrue="1" operator="lessThan">
      <formula>0</formula>
    </cfRule>
    <cfRule type="cellIs" dxfId="22" priority="2" stopIfTrue="1" operator="equal">
      <formula>0</formula>
    </cfRule>
    <cfRule type="cellIs" dxfId="21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99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7ABE-9BE7-4C6D-92AA-F3046BAF0A66}">
  <sheetPr>
    <pageSetUpPr fitToPage="1"/>
  </sheetPr>
  <dimension ref="A1:BT27"/>
  <sheetViews>
    <sheetView zoomScaleNormal="100" workbookViewId="0">
      <pane ySplit="7" topLeftCell="A8" activePane="bottomLeft" state="frozen"/>
      <selection pane="bottomLeft" activeCell="K8" sqref="K8:O12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2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2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2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2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2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2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2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2" s="14" customFormat="1" ht="21" customHeight="1">
      <c r="A8" s="152" t="s">
        <v>86</v>
      </c>
      <c r="B8" s="54">
        <v>24</v>
      </c>
      <c r="C8" s="55">
        <v>200</v>
      </c>
      <c r="D8" s="56">
        <v>40</v>
      </c>
      <c r="E8" s="57">
        <f t="shared" ref="E8:E27" si="12">SUM(B8+C8+D8)</f>
        <v>264</v>
      </c>
      <c r="F8" s="190"/>
      <c r="G8" s="191"/>
      <c r="H8" s="191"/>
      <c r="I8" s="191"/>
      <c r="J8" s="191"/>
      <c r="K8" s="276"/>
      <c r="L8" s="191"/>
      <c r="M8" s="191"/>
      <c r="N8" s="191"/>
      <c r="O8" s="191"/>
      <c r="P8" s="60"/>
      <c r="Q8" s="59"/>
      <c r="R8" s="59"/>
      <c r="S8" s="59"/>
      <c r="T8" s="59"/>
      <c r="U8" s="61"/>
      <c r="V8" s="62"/>
      <c r="W8" s="59"/>
      <c r="X8" s="63"/>
      <c r="Y8" s="63"/>
      <c r="Z8" s="61"/>
      <c r="AA8" s="58"/>
      <c r="AB8" s="59"/>
      <c r="AC8" s="59"/>
      <c r="AD8" s="59"/>
      <c r="AE8" s="61"/>
      <c r="AF8" s="59"/>
      <c r="AG8" s="59">
        <v>36</v>
      </c>
      <c r="AH8" s="59"/>
      <c r="AI8" s="59"/>
      <c r="AJ8" s="64"/>
      <c r="AK8" s="59"/>
      <c r="AL8" s="59"/>
      <c r="AM8" s="59"/>
      <c r="AN8" s="228">
        <v>36</v>
      </c>
      <c r="AO8" s="252">
        <v>44</v>
      </c>
      <c r="AP8" s="60"/>
      <c r="AQ8" s="59"/>
      <c r="AR8" s="228">
        <v>44</v>
      </c>
      <c r="AS8" s="59"/>
      <c r="AT8" s="59"/>
      <c r="AU8" s="61"/>
      <c r="AV8" s="62"/>
      <c r="AW8" s="59"/>
      <c r="AX8" s="63"/>
      <c r="AY8" s="63"/>
      <c r="AZ8" s="228">
        <v>12</v>
      </c>
      <c r="BA8" s="228">
        <v>12</v>
      </c>
      <c r="BB8" s="59"/>
      <c r="BC8" s="63"/>
      <c r="BD8" s="63"/>
      <c r="BE8" s="228">
        <v>24</v>
      </c>
      <c r="BF8" s="60"/>
      <c r="BG8" s="59"/>
      <c r="BH8" s="59"/>
      <c r="BI8" s="228">
        <v>12</v>
      </c>
      <c r="BJ8" s="59"/>
      <c r="BK8" s="61"/>
      <c r="BL8" s="59"/>
      <c r="BM8" s="59"/>
      <c r="BN8" s="59"/>
      <c r="BO8" s="65">
        <v>4</v>
      </c>
      <c r="BP8" s="228">
        <v>36</v>
      </c>
      <c r="BQ8" s="66">
        <f t="shared" ref="BQ8:BQ27" si="13">SUM(F8:BP8)</f>
        <v>260</v>
      </c>
      <c r="BR8" s="67">
        <f t="shared" ref="BR8:BR27" si="14">E8-BQ8</f>
        <v>4</v>
      </c>
    </row>
    <row r="9" spans="1:72" s="15" customFormat="1" ht="21" customHeight="1">
      <c r="A9" s="155" t="s">
        <v>104</v>
      </c>
      <c r="B9" s="8">
        <v>7</v>
      </c>
      <c r="C9" s="9">
        <v>200</v>
      </c>
      <c r="D9" s="10">
        <v>40</v>
      </c>
      <c r="E9" s="11">
        <f t="shared" si="12"/>
        <v>247</v>
      </c>
      <c r="F9" s="186"/>
      <c r="G9" s="187"/>
      <c r="H9" s="187">
        <v>8</v>
      </c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35"/>
      <c r="AC9" s="35"/>
      <c r="AD9" s="43"/>
      <c r="AE9" s="44"/>
      <c r="AF9" s="43"/>
      <c r="AG9" s="43"/>
      <c r="AH9" s="43"/>
      <c r="AI9" s="228">
        <v>40</v>
      </c>
      <c r="AJ9" s="45"/>
      <c r="AK9" s="43"/>
      <c r="AL9" s="43"/>
      <c r="AM9" s="228">
        <v>40</v>
      </c>
      <c r="AN9" s="228">
        <v>40</v>
      </c>
      <c r="AO9" s="228">
        <v>40</v>
      </c>
      <c r="AP9" s="36"/>
      <c r="AQ9" s="35"/>
      <c r="AR9" s="35"/>
      <c r="AS9" s="35"/>
      <c r="AT9" s="35"/>
      <c r="AU9" s="37"/>
      <c r="AV9" s="38"/>
      <c r="AW9" s="35">
        <v>40</v>
      </c>
      <c r="AX9" s="39"/>
      <c r="AY9" s="39"/>
      <c r="AZ9" s="37"/>
      <c r="BA9" s="38"/>
      <c r="BB9" s="35"/>
      <c r="BC9" s="39"/>
      <c r="BD9" s="39"/>
      <c r="BE9" s="37"/>
      <c r="BF9" s="36"/>
      <c r="BG9" s="35"/>
      <c r="BH9" s="35"/>
      <c r="BI9" s="35"/>
      <c r="BJ9" s="35"/>
      <c r="BK9" s="37"/>
      <c r="BL9" s="43"/>
      <c r="BM9" s="43"/>
      <c r="BN9" s="43"/>
      <c r="BO9" s="46">
        <v>4</v>
      </c>
      <c r="BP9" s="228">
        <v>32</v>
      </c>
      <c r="BQ9" s="12">
        <f t="shared" si="13"/>
        <v>244</v>
      </c>
      <c r="BR9" s="13">
        <f t="shared" si="14"/>
        <v>3</v>
      </c>
      <c r="BT9" s="15">
        <v>3</v>
      </c>
    </row>
    <row r="10" spans="1:72" s="14" customFormat="1" ht="21" customHeight="1" thickBot="1">
      <c r="A10" s="156" t="s">
        <v>126</v>
      </c>
      <c r="B10" s="84">
        <v>0</v>
      </c>
      <c r="C10" s="85">
        <v>200</v>
      </c>
      <c r="D10" s="86">
        <v>40</v>
      </c>
      <c r="E10" s="87">
        <f t="shared" si="12"/>
        <v>240</v>
      </c>
      <c r="F10" s="192"/>
      <c r="G10" s="193"/>
      <c r="H10" s="193"/>
      <c r="I10" s="193"/>
      <c r="J10" s="193"/>
      <c r="K10" s="280"/>
      <c r="L10" s="193"/>
      <c r="M10" s="193"/>
      <c r="N10" s="193"/>
      <c r="O10" s="193"/>
      <c r="P10" s="90"/>
      <c r="Q10" s="89"/>
      <c r="R10" s="89"/>
      <c r="S10" s="89"/>
      <c r="T10" s="89"/>
      <c r="U10" s="91"/>
      <c r="V10" s="232"/>
      <c r="W10" s="206">
        <v>24</v>
      </c>
      <c r="X10" s="234"/>
      <c r="Y10" s="234"/>
      <c r="Z10" s="235"/>
      <c r="AA10" s="206"/>
      <c r="AB10" s="206">
        <v>12</v>
      </c>
      <c r="AC10" s="233"/>
      <c r="AD10" s="236"/>
      <c r="AE10" s="237"/>
      <c r="AF10" s="236"/>
      <c r="AG10" s="236"/>
      <c r="AH10" s="236"/>
      <c r="AI10" s="236"/>
      <c r="AJ10" s="238"/>
      <c r="AK10" s="236"/>
      <c r="AL10" s="236"/>
      <c r="AM10" s="236"/>
      <c r="AN10" s="206">
        <v>44</v>
      </c>
      <c r="AO10" s="206">
        <v>36</v>
      </c>
      <c r="AP10" s="239"/>
      <c r="AQ10" s="206">
        <v>44</v>
      </c>
      <c r="AR10" s="206">
        <v>12</v>
      </c>
      <c r="AS10" s="233"/>
      <c r="AT10" s="233"/>
      <c r="AU10" s="235"/>
      <c r="AV10" s="232"/>
      <c r="AW10" s="233"/>
      <c r="AX10" s="234"/>
      <c r="AY10" s="234"/>
      <c r="AZ10" s="235"/>
      <c r="BA10" s="232"/>
      <c r="BB10" s="233"/>
      <c r="BC10" s="234"/>
      <c r="BD10" s="234"/>
      <c r="BE10" s="235"/>
      <c r="BF10" s="239"/>
      <c r="BG10" s="233"/>
      <c r="BH10" s="233"/>
      <c r="BI10" s="206">
        <v>12</v>
      </c>
      <c r="BJ10" s="233"/>
      <c r="BK10" s="235"/>
      <c r="BL10" s="236"/>
      <c r="BM10" s="236"/>
      <c r="BN10" s="236"/>
      <c r="BO10" s="206">
        <v>12</v>
      </c>
      <c r="BP10" s="206">
        <v>36</v>
      </c>
      <c r="BQ10" s="12">
        <f t="shared" si="13"/>
        <v>232</v>
      </c>
      <c r="BR10" s="13">
        <f t="shared" si="14"/>
        <v>8</v>
      </c>
    </row>
    <row r="11" spans="1:72" s="14" customFormat="1" ht="21" customHeight="1">
      <c r="A11" s="29" t="s">
        <v>106</v>
      </c>
      <c r="B11" s="54">
        <v>0</v>
      </c>
      <c r="C11" s="104">
        <v>200</v>
      </c>
      <c r="D11" s="105">
        <v>40</v>
      </c>
      <c r="E11" s="57">
        <f t="shared" si="12"/>
        <v>240</v>
      </c>
      <c r="F11" s="190">
        <v>11.5</v>
      </c>
      <c r="G11" s="191"/>
      <c r="H11" s="191"/>
      <c r="I11" s="191"/>
      <c r="J11" s="191"/>
      <c r="K11" s="276"/>
      <c r="L11" s="191"/>
      <c r="M11" s="191"/>
      <c r="N11" s="191"/>
      <c r="O11" s="191"/>
      <c r="P11" s="60"/>
      <c r="Q11" s="59"/>
      <c r="R11" s="59"/>
      <c r="S11" s="59"/>
      <c r="T11" s="59"/>
      <c r="U11" s="61"/>
      <c r="V11" s="62"/>
      <c r="W11" s="228">
        <v>23</v>
      </c>
      <c r="X11" s="228">
        <v>23</v>
      </c>
      <c r="Y11" s="63"/>
      <c r="Z11" s="61"/>
      <c r="AA11" s="58"/>
      <c r="AB11" s="228">
        <v>23</v>
      </c>
      <c r="AC11" s="59"/>
      <c r="AD11" s="59"/>
      <c r="AE11" s="61"/>
      <c r="AF11" s="59"/>
      <c r="AG11" s="59"/>
      <c r="AH11" s="59"/>
      <c r="AI11" s="59"/>
      <c r="AJ11" s="64"/>
      <c r="AK11" s="253"/>
      <c r="AL11" s="228">
        <v>34.5</v>
      </c>
      <c r="AM11" s="228">
        <v>23</v>
      </c>
      <c r="AN11" s="59"/>
      <c r="AO11" s="64"/>
      <c r="AP11" s="60"/>
      <c r="AQ11" s="59"/>
      <c r="AR11" s="59"/>
      <c r="AS11" s="59"/>
      <c r="AT11" s="228">
        <v>23</v>
      </c>
      <c r="AU11" s="61"/>
      <c r="AV11" s="62"/>
      <c r="AW11" s="59"/>
      <c r="AX11" s="63"/>
      <c r="AY11" s="63"/>
      <c r="AZ11" s="61"/>
      <c r="BA11" s="62"/>
      <c r="BB11" s="59"/>
      <c r="BC11" s="63"/>
      <c r="BD11" s="63"/>
      <c r="BE11" s="61"/>
      <c r="BF11" s="60"/>
      <c r="BG11" s="59"/>
      <c r="BH11" s="59"/>
      <c r="BI11" s="59"/>
      <c r="BJ11" s="59"/>
      <c r="BK11" s="61"/>
      <c r="BL11" s="59"/>
      <c r="BM11" s="59"/>
      <c r="BN11" s="59"/>
      <c r="BO11" s="228">
        <v>46</v>
      </c>
      <c r="BP11" s="228">
        <v>23</v>
      </c>
      <c r="BQ11" s="12">
        <f t="shared" si="13"/>
        <v>230</v>
      </c>
      <c r="BR11" s="13">
        <f t="shared" si="14"/>
        <v>10</v>
      </c>
      <c r="BS11" s="16"/>
    </row>
    <row r="12" spans="1:72" s="4" customFormat="1" ht="21" customHeight="1">
      <c r="A12" s="29" t="s">
        <v>127</v>
      </c>
      <c r="B12" s="183">
        <v>0</v>
      </c>
      <c r="C12" s="184">
        <v>200</v>
      </c>
      <c r="D12" s="185">
        <v>40</v>
      </c>
      <c r="E12" s="287">
        <f t="shared" si="12"/>
        <v>240</v>
      </c>
      <c r="F12" s="288"/>
      <c r="G12" s="289"/>
      <c r="H12" s="289"/>
      <c r="I12" s="289"/>
      <c r="J12" s="289"/>
      <c r="K12" s="305"/>
      <c r="L12" s="289"/>
      <c r="M12" s="289"/>
      <c r="N12" s="289"/>
      <c r="O12" s="289"/>
      <c r="P12" s="290"/>
      <c r="Q12" s="291"/>
      <c r="R12" s="291"/>
      <c r="S12" s="292"/>
      <c r="T12" s="293">
        <v>34.5</v>
      </c>
      <c r="U12" s="294"/>
      <c r="V12" s="295"/>
      <c r="W12" s="291"/>
      <c r="X12" s="296"/>
      <c r="Y12" s="296"/>
      <c r="Z12" s="294"/>
      <c r="AA12" s="297"/>
      <c r="AB12" s="291"/>
      <c r="AC12" s="291"/>
      <c r="AD12" s="298"/>
      <c r="AE12" s="299"/>
      <c r="AF12" s="293">
        <v>23</v>
      </c>
      <c r="AG12" s="292"/>
      <c r="AH12" s="293">
        <v>57.5</v>
      </c>
      <c r="AI12" s="298"/>
      <c r="AJ12" s="300"/>
      <c r="AK12" s="298"/>
      <c r="AL12" s="298"/>
      <c r="AM12" s="298"/>
      <c r="AN12" s="293">
        <v>23</v>
      </c>
      <c r="AO12" s="300"/>
      <c r="AP12" s="290"/>
      <c r="AQ12" s="291"/>
      <c r="AR12" s="291"/>
      <c r="AS12" s="291"/>
      <c r="AT12" s="291"/>
      <c r="AU12" s="294"/>
      <c r="AV12" s="295"/>
      <c r="AW12" s="293">
        <v>57.5</v>
      </c>
      <c r="AX12" s="296"/>
      <c r="AY12" s="296"/>
      <c r="AZ12" s="294"/>
      <c r="BA12" s="295"/>
      <c r="BB12" s="291"/>
      <c r="BC12" s="296"/>
      <c r="BD12" s="296"/>
      <c r="BE12" s="294"/>
      <c r="BF12" s="290"/>
      <c r="BG12" s="291"/>
      <c r="BH12" s="291"/>
      <c r="BI12" s="291"/>
      <c r="BJ12" s="291"/>
      <c r="BK12" s="294"/>
      <c r="BL12" s="298"/>
      <c r="BM12" s="298"/>
      <c r="BN12" s="298"/>
      <c r="BO12" s="293">
        <v>23</v>
      </c>
      <c r="BP12" s="293">
        <v>11.5</v>
      </c>
      <c r="BQ12" s="301">
        <f t="shared" si="13"/>
        <v>230</v>
      </c>
      <c r="BR12" s="13">
        <f t="shared" si="14"/>
        <v>10</v>
      </c>
    </row>
    <row r="13" spans="1:72" s="17" customFormat="1" ht="21" customHeight="1" thickBot="1">
      <c r="A13" s="122" t="s">
        <v>155</v>
      </c>
      <c r="B13" s="123"/>
      <c r="C13" s="283"/>
      <c r="D13" s="284"/>
      <c r="E13" s="126">
        <f t="shared" si="12"/>
        <v>0</v>
      </c>
      <c r="F13" s="285"/>
      <c r="G13" s="265"/>
      <c r="H13" s="265"/>
      <c r="I13" s="265"/>
      <c r="J13" s="265"/>
      <c r="K13" s="286"/>
      <c r="L13" s="265"/>
      <c r="M13" s="265"/>
      <c r="N13" s="265"/>
      <c r="O13" s="265"/>
      <c r="P13" s="225"/>
      <c r="Q13" s="266"/>
      <c r="R13" s="266"/>
      <c r="S13" s="266"/>
      <c r="T13" s="266"/>
      <c r="U13" s="267"/>
      <c r="V13" s="268"/>
      <c r="W13" s="266"/>
      <c r="X13" s="269"/>
      <c r="Y13" s="269"/>
      <c r="Z13" s="267"/>
      <c r="AA13" s="270"/>
      <c r="AB13" s="266"/>
      <c r="AC13" s="266"/>
      <c r="AD13" s="266"/>
      <c r="AE13" s="267"/>
      <c r="AF13" s="266"/>
      <c r="AG13" s="266"/>
      <c r="AH13" s="266"/>
      <c r="AI13" s="266"/>
      <c r="AJ13" s="271"/>
      <c r="AK13" s="266"/>
      <c r="AL13" s="266"/>
      <c r="AM13" s="266"/>
      <c r="AN13" s="266"/>
      <c r="AO13" s="271"/>
      <c r="AP13" s="225"/>
      <c r="AQ13" s="266"/>
      <c r="AR13" s="266"/>
      <c r="AS13" s="266"/>
      <c r="AT13" s="266"/>
      <c r="AU13" s="267"/>
      <c r="AV13" s="268"/>
      <c r="AW13" s="266"/>
      <c r="AX13" s="269"/>
      <c r="AY13" s="269"/>
      <c r="AZ13" s="267"/>
      <c r="BA13" s="268"/>
      <c r="BB13" s="266"/>
      <c r="BC13" s="269"/>
      <c r="BD13" s="269"/>
      <c r="BE13" s="267"/>
      <c r="BF13" s="225"/>
      <c r="BG13" s="266"/>
      <c r="BH13" s="266"/>
      <c r="BI13" s="266"/>
      <c r="BJ13" s="266"/>
      <c r="BK13" s="267"/>
      <c r="BL13" s="266"/>
      <c r="BM13" s="266"/>
      <c r="BN13" s="266"/>
      <c r="BO13" s="272"/>
      <c r="BP13" s="273"/>
      <c r="BQ13" s="134">
        <f t="shared" si="13"/>
        <v>0</v>
      </c>
      <c r="BR13" s="135">
        <f t="shared" si="14"/>
        <v>0</v>
      </c>
    </row>
    <row r="14" spans="1:72" s="14" customFormat="1" ht="21" customHeight="1">
      <c r="A14" s="83" t="s">
        <v>105</v>
      </c>
      <c r="B14" s="54">
        <v>2</v>
      </c>
      <c r="C14" s="55">
        <v>200</v>
      </c>
      <c r="D14" s="103">
        <v>0</v>
      </c>
      <c r="E14" s="57">
        <f t="shared" si="12"/>
        <v>202</v>
      </c>
      <c r="F14" s="190"/>
      <c r="G14" s="191">
        <v>8</v>
      </c>
      <c r="H14" s="191"/>
      <c r="I14" s="191"/>
      <c r="J14" s="191"/>
      <c r="K14" s="276">
        <v>16</v>
      </c>
      <c r="L14" s="191"/>
      <c r="M14" s="191"/>
      <c r="N14" s="191"/>
      <c r="O14" s="191"/>
      <c r="P14" s="60"/>
      <c r="Q14" s="59"/>
      <c r="R14" s="59"/>
      <c r="S14" s="59"/>
      <c r="T14" s="59"/>
      <c r="U14" s="61"/>
      <c r="V14" s="62"/>
      <c r="W14" s="59"/>
      <c r="X14" s="63"/>
      <c r="Y14" s="63"/>
      <c r="Z14" s="61"/>
      <c r="AA14" s="58"/>
      <c r="AB14" s="59"/>
      <c r="AC14" s="59"/>
      <c r="AD14" s="59"/>
      <c r="AE14" s="61"/>
      <c r="AF14" s="59"/>
      <c r="AG14" s="59"/>
      <c r="AH14" s="59"/>
      <c r="AI14" s="59"/>
      <c r="AJ14" s="64"/>
      <c r="AK14" s="59">
        <v>16</v>
      </c>
      <c r="AL14" s="59">
        <v>40</v>
      </c>
      <c r="AM14" s="59"/>
      <c r="AN14" s="59"/>
      <c r="AO14" s="64"/>
      <c r="AP14" s="60"/>
      <c r="AQ14" s="59"/>
      <c r="AR14" s="59">
        <v>20</v>
      </c>
      <c r="AS14" s="59">
        <v>20</v>
      </c>
      <c r="AT14" s="59"/>
      <c r="AU14" s="61"/>
      <c r="AV14" s="62">
        <v>8</v>
      </c>
      <c r="AW14" s="59"/>
      <c r="AX14" s="63"/>
      <c r="AY14" s="63"/>
      <c r="AZ14" s="61"/>
      <c r="BA14" s="62"/>
      <c r="BB14" s="59"/>
      <c r="BC14" s="63"/>
      <c r="BD14" s="63"/>
      <c r="BE14" s="61">
        <v>20</v>
      </c>
      <c r="BF14" s="60"/>
      <c r="BG14" s="59"/>
      <c r="BH14" s="59"/>
      <c r="BI14" s="59"/>
      <c r="BJ14" s="59"/>
      <c r="BK14" s="61"/>
      <c r="BL14" s="59"/>
      <c r="BM14" s="138"/>
      <c r="BN14" s="138"/>
      <c r="BO14" s="65">
        <v>16</v>
      </c>
      <c r="BP14" s="58">
        <v>32</v>
      </c>
      <c r="BQ14" s="66">
        <f t="shared" si="13"/>
        <v>196</v>
      </c>
      <c r="BR14" s="67">
        <f t="shared" si="14"/>
        <v>6</v>
      </c>
    </row>
    <row r="15" spans="1:72" s="14" customFormat="1" ht="21" customHeight="1">
      <c r="A15" s="7"/>
      <c r="B15" s="8"/>
      <c r="C15" s="9"/>
      <c r="D15" s="10"/>
      <c r="E15" s="11">
        <f t="shared" si="12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48"/>
      <c r="AB15" s="49"/>
      <c r="AC15" s="49"/>
      <c r="AD15" s="49"/>
      <c r="AE15" s="50"/>
      <c r="AF15" s="49"/>
      <c r="AG15" s="49"/>
      <c r="AH15" s="49"/>
      <c r="AI15" s="49"/>
      <c r="AJ15" s="51"/>
      <c r="AK15" s="49"/>
      <c r="AL15" s="49"/>
      <c r="AM15" s="49"/>
      <c r="AN15" s="49"/>
      <c r="AO15" s="51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49"/>
      <c r="BM15" s="49"/>
      <c r="BN15" s="49"/>
      <c r="BO15" s="52"/>
      <c r="BP15" s="48"/>
      <c r="BQ15" s="12">
        <f t="shared" si="13"/>
        <v>0</v>
      </c>
      <c r="BR15" s="13">
        <f t="shared" si="14"/>
        <v>0</v>
      </c>
    </row>
    <row r="16" spans="1:72" s="14" customFormat="1" ht="21" customHeight="1">
      <c r="A16" s="28"/>
      <c r="B16" s="8"/>
      <c r="C16" s="9"/>
      <c r="D16" s="10"/>
      <c r="E16" s="11">
        <f t="shared" si="12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34"/>
      <c r="BQ16" s="12">
        <f t="shared" si="13"/>
        <v>0</v>
      </c>
      <c r="BR16" s="13">
        <f t="shared" si="14"/>
        <v>0</v>
      </c>
    </row>
    <row r="17" spans="1:72" s="14" customFormat="1" ht="21" customHeight="1">
      <c r="A17" s="7"/>
      <c r="B17" s="8"/>
      <c r="C17" s="9"/>
      <c r="D17" s="10"/>
      <c r="E17" s="11">
        <f t="shared" si="12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34"/>
      <c r="BQ17" s="12">
        <f t="shared" si="13"/>
        <v>0</v>
      </c>
      <c r="BR17" s="13">
        <f t="shared" si="14"/>
        <v>0</v>
      </c>
    </row>
    <row r="18" spans="1:72" s="17" customFormat="1" ht="21" customHeight="1">
      <c r="A18" s="7"/>
      <c r="B18" s="8"/>
      <c r="C18" s="19"/>
      <c r="D18" s="21"/>
      <c r="E18" s="11">
        <f t="shared" si="12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42"/>
      <c r="BQ18" s="12">
        <f t="shared" si="13"/>
        <v>0</v>
      </c>
      <c r="BR18" s="13">
        <f t="shared" si="14"/>
        <v>0</v>
      </c>
    </row>
    <row r="19" spans="1:72" s="17" customFormat="1" ht="21" customHeight="1">
      <c r="A19" s="25"/>
      <c r="B19" s="8"/>
      <c r="C19" s="9"/>
      <c r="D19" s="10"/>
      <c r="E19" s="11">
        <f t="shared" si="12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34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35"/>
      <c r="AS19" s="35"/>
      <c r="AT19" s="35"/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35"/>
      <c r="BM19" s="35"/>
      <c r="BN19" s="35"/>
      <c r="BO19" s="41"/>
      <c r="BP19" s="34"/>
      <c r="BQ19" s="12">
        <f t="shared" si="13"/>
        <v>0</v>
      </c>
      <c r="BR19" s="13">
        <f t="shared" si="14"/>
        <v>0</v>
      </c>
    </row>
    <row r="20" spans="1:72" s="4" customFormat="1" ht="21" customHeight="1">
      <c r="A20" s="7"/>
      <c r="B20" s="8"/>
      <c r="C20" s="9"/>
      <c r="D20" s="10"/>
      <c r="E20" s="11">
        <f t="shared" si="12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43"/>
      <c r="AG20" s="43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35"/>
      <c r="AS20" s="35"/>
      <c r="AT20" s="35"/>
      <c r="AU20" s="37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35"/>
      <c r="BI20" s="35"/>
      <c r="BJ20" s="35"/>
      <c r="BK20" s="37"/>
      <c r="BL20" s="35"/>
      <c r="BM20" s="35"/>
      <c r="BN20" s="35"/>
      <c r="BO20" s="41"/>
      <c r="BP20" s="34"/>
      <c r="BQ20" s="12">
        <f t="shared" si="13"/>
        <v>0</v>
      </c>
      <c r="BR20" s="13">
        <f t="shared" si="14"/>
        <v>0</v>
      </c>
    </row>
    <row r="21" spans="1:72" s="14" customFormat="1" ht="21" customHeight="1">
      <c r="A21" s="25"/>
      <c r="B21" s="8"/>
      <c r="C21" s="9"/>
      <c r="D21" s="8"/>
      <c r="E21" s="11">
        <f t="shared" si="12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43"/>
      <c r="S21" s="43"/>
      <c r="T21" s="43"/>
      <c r="U21" s="44"/>
      <c r="V21" s="38"/>
      <c r="W21" s="35"/>
      <c r="X21" s="39"/>
      <c r="Y21" s="39"/>
      <c r="Z21" s="37"/>
      <c r="AA21" s="42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43"/>
      <c r="AS21" s="43"/>
      <c r="AT21" s="43"/>
      <c r="AU21" s="44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43"/>
      <c r="BI21" s="43"/>
      <c r="BJ21" s="43"/>
      <c r="BK21" s="44"/>
      <c r="BL21" s="35"/>
      <c r="BM21" s="35"/>
      <c r="BN21" s="35"/>
      <c r="BO21" s="46"/>
      <c r="BP21" s="42"/>
      <c r="BQ21" s="12">
        <f t="shared" si="13"/>
        <v>0</v>
      </c>
      <c r="BR21" s="13">
        <f t="shared" si="14"/>
        <v>0</v>
      </c>
    </row>
    <row r="22" spans="1:72" s="14" customFormat="1" ht="21" customHeight="1">
      <c r="A22" s="7"/>
      <c r="B22" s="8"/>
      <c r="C22" s="9"/>
      <c r="D22" s="10"/>
      <c r="E22" s="11">
        <f t="shared" si="12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3"/>
        <v>0</v>
      </c>
      <c r="BR22" s="13">
        <f t="shared" si="14"/>
        <v>0</v>
      </c>
      <c r="BT22" s="14" t="s">
        <v>72</v>
      </c>
    </row>
    <row r="23" spans="1:72" s="4" customFormat="1" ht="21" customHeight="1">
      <c r="A23" s="7"/>
      <c r="B23" s="8"/>
      <c r="C23" s="9"/>
      <c r="D23" s="18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</row>
    <row r="24" spans="1:72" ht="21" customHeight="1">
      <c r="A24" s="7"/>
      <c r="B24" s="8"/>
      <c r="C24" s="19"/>
      <c r="D24" s="20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</row>
    <row r="25" spans="1:72" s="14" customFormat="1" ht="21" customHeight="1">
      <c r="A25" s="7"/>
      <c r="B25" s="8"/>
      <c r="C25" s="19"/>
      <c r="D25" s="21"/>
      <c r="E25" s="11">
        <f t="shared" si="12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3"/>
        <v>0</v>
      </c>
      <c r="BR25" s="13">
        <f t="shared" si="14"/>
        <v>0</v>
      </c>
      <c r="BT25" s="14" t="s">
        <v>72</v>
      </c>
    </row>
    <row r="26" spans="1:72" s="4" customFormat="1" ht="21" customHeight="1">
      <c r="A26" s="7"/>
      <c r="B26" s="8"/>
      <c r="C26" s="19"/>
      <c r="D26" s="21"/>
      <c r="E26" s="11">
        <f t="shared" si="12"/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34"/>
      <c r="BQ26" s="12">
        <f t="shared" si="13"/>
        <v>0</v>
      </c>
      <c r="BR26" s="13">
        <f t="shared" si="14"/>
        <v>0</v>
      </c>
    </row>
    <row r="27" spans="1:72" ht="21" customHeight="1">
      <c r="A27" s="7"/>
      <c r="B27" s="8"/>
      <c r="C27" s="19"/>
      <c r="D27" s="20"/>
      <c r="E27" s="11">
        <f t="shared" si="12"/>
        <v>0</v>
      </c>
      <c r="F27" s="34"/>
      <c r="G27" s="35"/>
      <c r="H27" s="35"/>
      <c r="I27" s="35"/>
      <c r="J27" s="35"/>
      <c r="K27" s="36"/>
      <c r="L27" s="35"/>
      <c r="M27" s="35"/>
      <c r="N27" s="35"/>
      <c r="O27" s="35"/>
      <c r="P27" s="36"/>
      <c r="Q27" s="35"/>
      <c r="R27" s="35"/>
      <c r="S27" s="35"/>
      <c r="T27" s="35"/>
      <c r="U27" s="37"/>
      <c r="V27" s="38"/>
      <c r="W27" s="35"/>
      <c r="X27" s="39"/>
      <c r="Y27" s="39"/>
      <c r="Z27" s="37"/>
      <c r="AA27" s="34"/>
      <c r="AB27" s="35"/>
      <c r="AC27" s="35"/>
      <c r="AD27" s="35"/>
      <c r="AE27" s="37"/>
      <c r="AF27" s="35"/>
      <c r="AG27" s="35"/>
      <c r="AH27" s="35"/>
      <c r="AI27" s="35"/>
      <c r="AJ27" s="40"/>
      <c r="AK27" s="35"/>
      <c r="AL27" s="35"/>
      <c r="AM27" s="35"/>
      <c r="AN27" s="35"/>
      <c r="AO27" s="40"/>
      <c r="AP27" s="36"/>
      <c r="AQ27" s="35"/>
      <c r="AR27" s="35"/>
      <c r="AS27" s="35"/>
      <c r="AT27" s="35"/>
      <c r="AU27" s="37"/>
      <c r="AV27" s="38"/>
      <c r="AW27" s="35"/>
      <c r="AX27" s="39"/>
      <c r="AY27" s="39"/>
      <c r="AZ27" s="37"/>
      <c r="BA27" s="38"/>
      <c r="BB27" s="35"/>
      <c r="BC27" s="39"/>
      <c r="BD27" s="39"/>
      <c r="BE27" s="37"/>
      <c r="BF27" s="36"/>
      <c r="BG27" s="35"/>
      <c r="BH27" s="35"/>
      <c r="BI27" s="35"/>
      <c r="BJ27" s="35"/>
      <c r="BK27" s="37"/>
      <c r="BL27" s="35"/>
      <c r="BM27" s="35"/>
      <c r="BN27" s="35"/>
      <c r="BO27" s="41"/>
      <c r="BP27" s="34"/>
      <c r="BQ27" s="12">
        <f t="shared" si="13"/>
        <v>0</v>
      </c>
      <c r="BR27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7">
    <cfRule type="cellIs" dxfId="20" priority="1" stopIfTrue="1" operator="lessThan">
      <formula>0</formula>
    </cfRule>
    <cfRule type="cellIs" dxfId="19" priority="2" stopIfTrue="1" operator="equal">
      <formula>0</formula>
    </cfRule>
    <cfRule type="cellIs" dxfId="18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65" firstPageNumber="0" orientation="landscape" horizontalDpi="300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9819-AA3C-42C2-BE07-C44E58F3D145}">
  <dimension ref="A1:BT25"/>
  <sheetViews>
    <sheetView zoomScaleNormal="100" workbookViewId="0">
      <pane ySplit="7" topLeftCell="A8" activePane="bottomLeft" state="frozen"/>
      <selection pane="bottomLeft" activeCell="K14" sqref="K14:O14"/>
    </sheetView>
  </sheetViews>
  <sheetFormatPr baseColWidth="10" defaultColWidth="11.5" defaultRowHeight="16"/>
  <cols>
    <col min="1" max="1" width="10.1640625" style="22" customWidth="1"/>
    <col min="2" max="2" width="3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2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2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2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2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  <c r="BT4" s="254"/>
    </row>
    <row r="5" spans="1:72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2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2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2" s="15" customFormat="1" ht="21" customHeight="1">
      <c r="A8" s="7" t="s">
        <v>92</v>
      </c>
      <c r="B8" s="8">
        <v>0</v>
      </c>
      <c r="C8" s="9">
        <v>188</v>
      </c>
      <c r="D8" s="10">
        <v>38</v>
      </c>
      <c r="E8" s="11">
        <f t="shared" ref="E8:E25" si="12">SUM(B8+C8+D8)</f>
        <v>226</v>
      </c>
      <c r="F8" s="186"/>
      <c r="G8" s="187"/>
      <c r="H8" s="187"/>
      <c r="I8" s="187"/>
      <c r="J8" s="187"/>
      <c r="K8" s="279"/>
      <c r="L8" s="187"/>
      <c r="M8" s="187"/>
      <c r="N8" s="187"/>
      <c r="O8" s="187"/>
      <c r="P8" s="36"/>
      <c r="Q8" s="35"/>
      <c r="R8" s="35"/>
      <c r="S8" s="35"/>
      <c r="T8" s="35"/>
      <c r="U8" s="37"/>
      <c r="V8" s="38"/>
      <c r="W8" s="35"/>
      <c r="X8" s="39"/>
      <c r="Y8" s="39"/>
      <c r="Z8" s="204">
        <v>24</v>
      </c>
      <c r="AA8" s="42"/>
      <c r="AB8" s="204">
        <v>23</v>
      </c>
      <c r="AC8" s="35"/>
      <c r="AD8" s="43"/>
      <c r="AE8" s="44"/>
      <c r="AF8" s="43"/>
      <c r="AG8" s="43"/>
      <c r="AH8" s="43"/>
      <c r="AI8" s="43"/>
      <c r="AJ8" s="45"/>
      <c r="AK8" s="204">
        <v>11.5</v>
      </c>
      <c r="AL8" s="43"/>
      <c r="AM8" s="204">
        <v>23</v>
      </c>
      <c r="AN8" s="43"/>
      <c r="AO8" s="45"/>
      <c r="AP8" s="255"/>
      <c r="AQ8" s="204">
        <v>37.5</v>
      </c>
      <c r="AR8" s="204">
        <v>12</v>
      </c>
      <c r="AS8" s="204">
        <v>24</v>
      </c>
      <c r="AT8" s="35"/>
      <c r="AU8" s="37"/>
      <c r="AV8" s="38"/>
      <c r="AW8" s="204">
        <v>36</v>
      </c>
      <c r="AX8" s="39"/>
      <c r="AY8" s="39"/>
      <c r="AZ8" s="37"/>
      <c r="BA8" s="38"/>
      <c r="BB8" s="35"/>
      <c r="BC8" s="39">
        <v>36</v>
      </c>
      <c r="BD8" s="39"/>
      <c r="BE8" s="37"/>
      <c r="BF8" s="36"/>
      <c r="BG8" s="35"/>
      <c r="BH8" s="35"/>
      <c r="BI8" s="35"/>
      <c r="BJ8" s="35"/>
      <c r="BK8" s="37"/>
      <c r="BL8" s="43"/>
      <c r="BM8" s="43"/>
      <c r="BN8" s="43"/>
      <c r="BO8" s="46"/>
      <c r="BP8" s="42"/>
      <c r="BQ8" s="12">
        <f t="shared" ref="BQ8:BQ25" si="13">SUM(F8:BP8)</f>
        <v>227</v>
      </c>
      <c r="BR8" s="13">
        <f t="shared" ref="BR8:BR25" si="14">E8-BQ8</f>
        <v>-1</v>
      </c>
      <c r="BT8" s="15">
        <v>3</v>
      </c>
    </row>
    <row r="9" spans="1:72" s="14" customFormat="1" ht="21" customHeight="1">
      <c r="A9" s="7" t="s">
        <v>89</v>
      </c>
      <c r="B9" s="8">
        <v>0</v>
      </c>
      <c r="C9" s="9">
        <v>188</v>
      </c>
      <c r="D9" s="10">
        <v>38</v>
      </c>
      <c r="E9" s="11">
        <f t="shared" si="12"/>
        <v>226</v>
      </c>
      <c r="F9" s="186"/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43"/>
      <c r="AC9" s="35"/>
      <c r="AD9" s="43"/>
      <c r="AE9" s="44"/>
      <c r="AF9" s="43"/>
      <c r="AG9" s="43"/>
      <c r="AH9" s="43"/>
      <c r="AI9" s="43"/>
      <c r="AJ9" s="47"/>
      <c r="AK9" s="43"/>
      <c r="AL9" s="43"/>
      <c r="AM9" s="43"/>
      <c r="AN9" s="255"/>
      <c r="AO9" s="204">
        <v>37.5</v>
      </c>
      <c r="AP9" s="36"/>
      <c r="AQ9" s="204">
        <v>37.5</v>
      </c>
      <c r="AR9" s="35"/>
      <c r="AS9" s="35"/>
      <c r="AT9" s="35"/>
      <c r="AU9" s="37"/>
      <c r="AV9" s="38"/>
      <c r="AW9" s="35"/>
      <c r="AX9" s="39"/>
      <c r="AY9" s="39">
        <v>37.5</v>
      </c>
      <c r="AZ9" s="37"/>
      <c r="BA9" s="38"/>
      <c r="BB9" s="35"/>
      <c r="BC9" s="39"/>
      <c r="BD9" s="39">
        <v>37.5</v>
      </c>
      <c r="BE9" s="37"/>
      <c r="BF9" s="36"/>
      <c r="BG9" s="35"/>
      <c r="BH9" s="35"/>
      <c r="BI9" s="35">
        <v>24</v>
      </c>
      <c r="BJ9" s="35"/>
      <c r="BK9" s="37"/>
      <c r="BL9" s="43"/>
      <c r="BM9" s="43"/>
      <c r="BN9" s="255"/>
      <c r="BO9" s="204">
        <v>23</v>
      </c>
      <c r="BP9" s="204">
        <v>23</v>
      </c>
      <c r="BQ9" s="12">
        <f t="shared" si="13"/>
        <v>220</v>
      </c>
      <c r="BR9" s="13">
        <f t="shared" si="14"/>
        <v>6</v>
      </c>
    </row>
    <row r="10" spans="1:72" s="17" customFormat="1" ht="21" customHeight="1">
      <c r="A10" s="7" t="s">
        <v>154</v>
      </c>
      <c r="B10" s="8"/>
      <c r="C10" s="256"/>
      <c r="D10" s="257"/>
      <c r="E10" s="11">
        <f t="shared" ref="E10" si="15">SUM(B10+C10+D10)</f>
        <v>0</v>
      </c>
      <c r="F10" s="77"/>
      <c r="G10" s="73"/>
      <c r="H10" s="73"/>
      <c r="I10" s="73"/>
      <c r="J10" s="73"/>
      <c r="K10" s="72"/>
      <c r="L10" s="73"/>
      <c r="M10" s="73"/>
      <c r="N10" s="73"/>
      <c r="O10" s="73"/>
      <c r="P10" s="260"/>
      <c r="Q10" s="259"/>
      <c r="R10" s="259"/>
      <c r="S10" s="259"/>
      <c r="T10" s="259"/>
      <c r="U10" s="255"/>
      <c r="V10" s="261"/>
      <c r="W10" s="259"/>
      <c r="X10" s="210"/>
      <c r="Y10" s="210"/>
      <c r="Z10" s="255"/>
      <c r="AA10" s="258"/>
      <c r="AB10" s="259"/>
      <c r="AC10" s="259"/>
      <c r="AD10" s="259"/>
      <c r="AE10" s="255"/>
      <c r="AF10" s="259"/>
      <c r="AG10" s="259"/>
      <c r="AH10" s="259"/>
      <c r="AI10" s="259"/>
      <c r="AJ10" s="262"/>
      <c r="AK10" s="259"/>
      <c r="AL10" s="259"/>
      <c r="AM10" s="259"/>
      <c r="AN10" s="259"/>
      <c r="AO10" s="262"/>
      <c r="AP10" s="260"/>
      <c r="AQ10" s="259"/>
      <c r="AR10" s="259"/>
      <c r="AS10" s="259"/>
      <c r="AT10" s="259"/>
      <c r="AU10" s="255"/>
      <c r="AV10" s="261"/>
      <c r="AW10" s="259"/>
      <c r="AX10" s="210"/>
      <c r="AY10" s="210"/>
      <c r="AZ10" s="255"/>
      <c r="BA10" s="261"/>
      <c r="BB10" s="259"/>
      <c r="BC10" s="210"/>
      <c r="BD10" s="210"/>
      <c r="BE10" s="255"/>
      <c r="BF10" s="260"/>
      <c r="BG10" s="259"/>
      <c r="BH10" s="259"/>
      <c r="BI10" s="259"/>
      <c r="BJ10" s="259"/>
      <c r="BK10" s="255"/>
      <c r="BL10" s="259"/>
      <c r="BM10" s="259"/>
      <c r="BN10" s="259"/>
      <c r="BO10" s="263"/>
      <c r="BP10" s="264"/>
      <c r="BQ10" s="12">
        <f t="shared" ref="BQ10" si="16">SUM(F10:BP10)</f>
        <v>0</v>
      </c>
      <c r="BR10" s="13">
        <f t="shared" ref="BR10" si="17">E10-BQ10</f>
        <v>0</v>
      </c>
    </row>
    <row r="11" spans="1:72" s="14" customFormat="1" ht="21" customHeight="1">
      <c r="A11" s="25" t="s">
        <v>82</v>
      </c>
      <c r="B11" s="8">
        <v>0</v>
      </c>
      <c r="C11" s="19">
        <v>188</v>
      </c>
      <c r="D11" s="21">
        <v>38</v>
      </c>
      <c r="E11" s="11">
        <f t="shared" si="12"/>
        <v>226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/>
      <c r="AB11" s="43"/>
      <c r="AC11" s="35"/>
      <c r="AD11" s="35"/>
      <c r="AE11" s="37"/>
      <c r="AF11" s="35"/>
      <c r="AG11" s="35"/>
      <c r="AH11" s="35"/>
      <c r="AI11" s="35"/>
      <c r="AJ11" s="40"/>
      <c r="AK11" s="35"/>
      <c r="AL11" s="35"/>
      <c r="AM11" s="204">
        <v>37.5</v>
      </c>
      <c r="AN11" s="204">
        <v>37.5</v>
      </c>
      <c r="AO11" s="204">
        <v>37.5</v>
      </c>
      <c r="AP11" s="36"/>
      <c r="AQ11" s="35"/>
      <c r="AR11" s="35"/>
      <c r="AS11" s="35"/>
      <c r="AT11" s="35"/>
      <c r="AU11" s="37"/>
      <c r="AV11" s="38"/>
      <c r="AW11" s="35"/>
      <c r="AX11" s="39">
        <v>37.5</v>
      </c>
      <c r="AY11" s="39"/>
      <c r="AZ11" s="37"/>
      <c r="BA11" s="38"/>
      <c r="BB11" s="35">
        <v>37.5</v>
      </c>
      <c r="BC11" s="39"/>
      <c r="BD11" s="39"/>
      <c r="BE11" s="37"/>
      <c r="BF11" s="36"/>
      <c r="BG11" s="35"/>
      <c r="BH11" s="35"/>
      <c r="BI11" s="35"/>
      <c r="BJ11" s="35">
        <v>37.5</v>
      </c>
      <c r="BK11" s="37"/>
      <c r="BL11" s="35"/>
      <c r="BM11" s="35"/>
      <c r="BN11" s="35"/>
      <c r="BO11" s="41"/>
      <c r="BP11" s="34"/>
      <c r="BQ11" s="12">
        <f t="shared" si="13"/>
        <v>225</v>
      </c>
      <c r="BR11" s="13">
        <f t="shared" si="14"/>
        <v>1</v>
      </c>
      <c r="BS11" s="16"/>
    </row>
    <row r="12" spans="1:72" s="14" customFormat="1" ht="21" customHeight="1">
      <c r="A12" s="28" t="s">
        <v>148</v>
      </c>
      <c r="B12" s="8">
        <v>29</v>
      </c>
      <c r="C12" s="303">
        <v>63</v>
      </c>
      <c r="D12" s="304">
        <v>13</v>
      </c>
      <c r="E12" s="11">
        <f t="shared" ref="E12" si="18">SUM(B12+C12+D12)</f>
        <v>105</v>
      </c>
      <c r="F12" s="186"/>
      <c r="G12" s="187"/>
      <c r="H12" s="187"/>
      <c r="I12" s="187"/>
      <c r="J12" s="187"/>
      <c r="K12" s="279"/>
      <c r="L12" s="187"/>
      <c r="M12" s="187"/>
      <c r="N12" s="187"/>
      <c r="O12" s="187"/>
      <c r="P12" s="36"/>
      <c r="Q12" s="35"/>
      <c r="R12" s="35"/>
      <c r="S12" s="35"/>
      <c r="T12" s="35">
        <v>37.5</v>
      </c>
      <c r="U12" s="37"/>
      <c r="V12" s="38"/>
      <c r="W12" s="35"/>
      <c r="X12" s="39"/>
      <c r="Y12" s="39"/>
      <c r="Z12" s="37">
        <v>37.5</v>
      </c>
      <c r="AA12" s="77"/>
      <c r="AB12" s="73"/>
      <c r="AC12" s="73"/>
      <c r="AD12" s="73"/>
      <c r="AE12" s="74"/>
      <c r="AF12" s="73"/>
      <c r="AG12" s="73"/>
      <c r="AH12" s="73"/>
      <c r="AI12" s="73"/>
      <c r="AJ12" s="78"/>
      <c r="AK12" s="73"/>
      <c r="AL12" s="73"/>
      <c r="AM12" s="73"/>
      <c r="AN12" s="73"/>
      <c r="AO12" s="78"/>
      <c r="AP12" s="72"/>
      <c r="AQ12" s="73"/>
      <c r="AR12" s="73"/>
      <c r="AS12" s="73"/>
      <c r="AT12" s="73"/>
      <c r="AU12" s="74"/>
      <c r="AV12" s="75"/>
      <c r="AW12" s="73"/>
      <c r="AX12" s="76"/>
      <c r="AY12" s="76"/>
      <c r="AZ12" s="74"/>
      <c r="BA12" s="75"/>
      <c r="BB12" s="73"/>
      <c r="BC12" s="76"/>
      <c r="BD12" s="76"/>
      <c r="BE12" s="74"/>
      <c r="BF12" s="72"/>
      <c r="BG12" s="73"/>
      <c r="BH12" s="73"/>
      <c r="BI12" s="73"/>
      <c r="BJ12" s="73"/>
      <c r="BK12" s="74"/>
      <c r="BL12" s="73"/>
      <c r="BM12" s="73"/>
      <c r="BN12" s="73"/>
      <c r="BO12" s="79"/>
      <c r="BP12" s="77"/>
      <c r="BQ12" s="12">
        <f t="shared" ref="BQ12" si="19">SUM(F12:BP12)</f>
        <v>75</v>
      </c>
      <c r="BR12" s="13">
        <f t="shared" ref="BR12" si="20">E12-BQ12</f>
        <v>30</v>
      </c>
    </row>
    <row r="13" spans="1:72" s="14" customFormat="1" ht="21" customHeight="1">
      <c r="A13" s="28" t="s">
        <v>94</v>
      </c>
      <c r="B13" s="8">
        <v>0</v>
      </c>
      <c r="C13" s="9">
        <v>188</v>
      </c>
      <c r="D13" s="18">
        <v>38</v>
      </c>
      <c r="E13" s="11">
        <f t="shared" si="12"/>
        <v>226</v>
      </c>
      <c r="F13" s="186"/>
      <c r="G13" s="187"/>
      <c r="H13" s="187"/>
      <c r="I13" s="187"/>
      <c r="J13" s="187"/>
      <c r="K13" s="279"/>
      <c r="L13" s="187"/>
      <c r="M13" s="302">
        <v>23</v>
      </c>
      <c r="N13" s="302">
        <v>44.5</v>
      </c>
      <c r="O13" s="187"/>
      <c r="P13" s="36"/>
      <c r="Q13" s="35"/>
      <c r="R13" s="35"/>
      <c r="S13" s="35"/>
      <c r="T13" s="35"/>
      <c r="U13" s="37"/>
      <c r="V13" s="38"/>
      <c r="W13" s="35"/>
      <c r="X13" s="39"/>
      <c r="Y13" s="39"/>
      <c r="Z13" s="37"/>
      <c r="AA13" s="34"/>
      <c r="AB13" s="35"/>
      <c r="AC13" s="204">
        <v>38</v>
      </c>
      <c r="AD13" s="35"/>
      <c r="AE13" s="37"/>
      <c r="AF13" s="35"/>
      <c r="AG13" s="35"/>
      <c r="AH13" s="35"/>
      <c r="AI13" s="204">
        <v>37.5</v>
      </c>
      <c r="AJ13" s="40"/>
      <c r="AK13" s="35"/>
      <c r="AL13" s="35"/>
      <c r="AM13" s="35"/>
      <c r="AN13" s="35"/>
      <c r="AO13" s="204">
        <v>12</v>
      </c>
      <c r="AP13" s="204">
        <v>11.5</v>
      </c>
      <c r="AQ13" s="35"/>
      <c r="AR13" s="35"/>
      <c r="AS13" s="35"/>
      <c r="AT13" s="35"/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/>
      <c r="BF13" s="36"/>
      <c r="BG13" s="35">
        <v>36</v>
      </c>
      <c r="BH13" s="35"/>
      <c r="BI13" s="35"/>
      <c r="BJ13" s="35"/>
      <c r="BK13" s="37"/>
      <c r="BL13" s="35"/>
      <c r="BM13" s="43"/>
      <c r="BN13" s="43"/>
      <c r="BO13" s="204">
        <v>23</v>
      </c>
      <c r="BP13" s="34"/>
      <c r="BQ13" s="12">
        <f t="shared" si="13"/>
        <v>225.5</v>
      </c>
      <c r="BR13" s="13">
        <f t="shared" si="14"/>
        <v>0.5</v>
      </c>
    </row>
    <row r="14" spans="1:72" s="14" customFormat="1" ht="21" customHeight="1">
      <c r="A14" s="7" t="s">
        <v>128</v>
      </c>
      <c r="B14" s="8">
        <v>8.5</v>
      </c>
      <c r="C14" s="9">
        <v>188</v>
      </c>
      <c r="D14" s="10">
        <v>38</v>
      </c>
      <c r="E14" s="11">
        <f t="shared" si="12"/>
        <v>234.5</v>
      </c>
      <c r="F14" s="186"/>
      <c r="G14" s="187"/>
      <c r="H14" s="187"/>
      <c r="I14" s="187"/>
      <c r="J14" s="187"/>
      <c r="K14" s="279"/>
      <c r="L14" s="187"/>
      <c r="M14" s="187"/>
      <c r="N14" s="187"/>
      <c r="O14" s="187"/>
      <c r="P14" s="36"/>
      <c r="Q14" s="35"/>
      <c r="R14" s="35"/>
      <c r="S14" s="35"/>
      <c r="T14" s="35"/>
      <c r="U14" s="37"/>
      <c r="V14" s="38"/>
      <c r="W14" s="35"/>
      <c r="X14" s="39"/>
      <c r="Y14" s="39"/>
      <c r="Z14" s="37"/>
      <c r="AA14" s="48"/>
      <c r="AB14" s="49"/>
      <c r="AC14" s="204">
        <v>37.5</v>
      </c>
      <c r="AD14" s="204">
        <v>23</v>
      </c>
      <c r="AE14" s="50"/>
      <c r="AF14" s="49"/>
      <c r="AG14" s="49"/>
      <c r="AH14" s="49"/>
      <c r="AI14" s="49"/>
      <c r="AJ14" s="51"/>
      <c r="AK14" s="49"/>
      <c r="AL14" s="49"/>
      <c r="AM14" s="204">
        <v>37.5</v>
      </c>
      <c r="AN14" s="204">
        <v>37.5</v>
      </c>
      <c r="AO14" s="51"/>
      <c r="AP14" s="36"/>
      <c r="AQ14" s="204">
        <v>23</v>
      </c>
      <c r="AR14" s="204">
        <v>37.5</v>
      </c>
      <c r="AS14" s="35"/>
      <c r="AT14" s="35"/>
      <c r="AU14" s="37"/>
      <c r="AV14" s="38"/>
      <c r="AW14" s="35"/>
      <c r="AX14" s="39"/>
      <c r="AY14" s="39"/>
      <c r="AZ14" s="37"/>
      <c r="BA14" s="38"/>
      <c r="BB14" s="35"/>
      <c r="BC14" s="39"/>
      <c r="BD14" s="39"/>
      <c r="BE14" s="37"/>
      <c r="BF14" s="36"/>
      <c r="BG14" s="35"/>
      <c r="BH14" s="35"/>
      <c r="BI14" s="35"/>
      <c r="BJ14" s="35"/>
      <c r="BK14" s="37"/>
      <c r="BL14" s="49"/>
      <c r="BM14" s="49">
        <v>37.5</v>
      </c>
      <c r="BN14" s="49"/>
      <c r="BO14" s="52"/>
      <c r="BP14" s="48"/>
      <c r="BQ14" s="12">
        <f t="shared" si="13"/>
        <v>233.5</v>
      </c>
      <c r="BR14" s="13">
        <f t="shared" si="14"/>
        <v>1</v>
      </c>
    </row>
    <row r="15" spans="1:72" s="14" customFormat="1" ht="21" customHeight="1">
      <c r="A15" s="7"/>
      <c r="B15" s="8"/>
      <c r="C15" s="9"/>
      <c r="D15" s="10"/>
      <c r="E15" s="11">
        <f t="shared" si="12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37"/>
      <c r="AF15" s="35"/>
      <c r="AG15" s="35"/>
      <c r="AH15" s="35"/>
      <c r="AI15" s="35"/>
      <c r="AJ15" s="40"/>
      <c r="AK15" s="35"/>
      <c r="AL15" s="35"/>
      <c r="AM15" s="35"/>
      <c r="AN15" s="35"/>
      <c r="AO15" s="40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/>
      <c r="BP15" s="34"/>
      <c r="BQ15" s="12">
        <f t="shared" si="13"/>
        <v>0</v>
      </c>
      <c r="BR15" s="13">
        <f t="shared" si="14"/>
        <v>0</v>
      </c>
    </row>
    <row r="16" spans="1:72" s="17" customFormat="1" ht="21" customHeight="1">
      <c r="A16" s="7"/>
      <c r="B16" s="8"/>
      <c r="C16" s="19"/>
      <c r="D16" s="21"/>
      <c r="E16" s="11">
        <f t="shared" si="12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42"/>
      <c r="BQ16" s="12">
        <f t="shared" si="13"/>
        <v>0</v>
      </c>
      <c r="BR16" s="13">
        <f t="shared" si="14"/>
        <v>0</v>
      </c>
    </row>
    <row r="17" spans="1:72" s="17" customFormat="1" ht="21" customHeight="1">
      <c r="A17" s="25"/>
      <c r="B17" s="8"/>
      <c r="C17" s="9"/>
      <c r="D17" s="10"/>
      <c r="E17" s="11">
        <f t="shared" si="12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34"/>
      <c r="BQ17" s="12">
        <f t="shared" si="13"/>
        <v>0</v>
      </c>
      <c r="BR17" s="13">
        <f t="shared" si="14"/>
        <v>0</v>
      </c>
    </row>
    <row r="18" spans="1:72" s="4" customFormat="1" ht="21" customHeight="1">
      <c r="A18" s="7"/>
      <c r="B18" s="8"/>
      <c r="C18" s="9"/>
      <c r="D18" s="10"/>
      <c r="E18" s="11">
        <f t="shared" si="12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43"/>
      <c r="AG18" s="43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34"/>
      <c r="BQ18" s="12">
        <f t="shared" si="13"/>
        <v>0</v>
      </c>
      <c r="BR18" s="13">
        <f t="shared" si="14"/>
        <v>0</v>
      </c>
    </row>
    <row r="19" spans="1:72" s="14" customFormat="1" ht="21" customHeight="1">
      <c r="A19" s="25"/>
      <c r="B19" s="8"/>
      <c r="C19" s="9"/>
      <c r="D19" s="8"/>
      <c r="E19" s="11">
        <f t="shared" si="12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43"/>
      <c r="S19" s="43"/>
      <c r="T19" s="43"/>
      <c r="U19" s="44"/>
      <c r="V19" s="38"/>
      <c r="W19" s="35"/>
      <c r="X19" s="39"/>
      <c r="Y19" s="39"/>
      <c r="Z19" s="37"/>
      <c r="AA19" s="42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43"/>
      <c r="AS19" s="43"/>
      <c r="AT19" s="43"/>
      <c r="AU19" s="44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43"/>
      <c r="BI19" s="43"/>
      <c r="BJ19" s="43"/>
      <c r="BK19" s="44"/>
      <c r="BL19" s="35"/>
      <c r="BM19" s="35"/>
      <c r="BN19" s="35"/>
      <c r="BO19" s="46"/>
      <c r="BP19" s="42"/>
      <c r="BQ19" s="12">
        <f t="shared" si="13"/>
        <v>0</v>
      </c>
      <c r="BR19" s="13">
        <f t="shared" si="14"/>
        <v>0</v>
      </c>
    </row>
    <row r="20" spans="1:72" s="4" customFormat="1" ht="21" customHeight="1">
      <c r="A20" s="7" t="s">
        <v>93</v>
      </c>
      <c r="B20" s="8">
        <v>10.75</v>
      </c>
      <c r="C20" s="9">
        <v>15</v>
      </c>
      <c r="D20" s="10">
        <v>3</v>
      </c>
      <c r="E20" s="11">
        <f t="shared" ref="E20:E22" si="21">SUM(B20+C20+D20)</f>
        <v>28.75</v>
      </c>
      <c r="F20" s="186"/>
      <c r="G20" s="187"/>
      <c r="H20" s="187">
        <v>28.75</v>
      </c>
      <c r="I20" s="187"/>
      <c r="J20" s="187"/>
      <c r="K20" s="159"/>
      <c r="L20" s="158"/>
      <c r="M20" s="158"/>
      <c r="N20" s="158"/>
      <c r="O20" s="158"/>
      <c r="P20" s="159"/>
      <c r="Q20" s="158"/>
      <c r="R20" s="158"/>
      <c r="S20" s="158"/>
      <c r="T20" s="158"/>
      <c r="U20" s="160"/>
      <c r="V20" s="161"/>
      <c r="W20" s="158"/>
      <c r="X20" s="162"/>
      <c r="Y20" s="162"/>
      <c r="Z20" s="160"/>
      <c r="AA20" s="157"/>
      <c r="AB20" s="158"/>
      <c r="AC20" s="158"/>
      <c r="AD20" s="163"/>
      <c r="AE20" s="164"/>
      <c r="AF20" s="163"/>
      <c r="AG20" s="163"/>
      <c r="AH20" s="163"/>
      <c r="AI20" s="163"/>
      <c r="AJ20" s="165"/>
      <c r="AK20" s="163"/>
      <c r="AL20" s="163"/>
      <c r="AM20" s="163"/>
      <c r="AN20" s="163"/>
      <c r="AO20" s="165"/>
      <c r="AP20" s="159"/>
      <c r="AQ20" s="158"/>
      <c r="AR20" s="158"/>
      <c r="AS20" s="158"/>
      <c r="AT20" s="158"/>
      <c r="AU20" s="160"/>
      <c r="AV20" s="161"/>
      <c r="AW20" s="158"/>
      <c r="AX20" s="162"/>
      <c r="AY20" s="162"/>
      <c r="AZ20" s="160"/>
      <c r="BA20" s="161"/>
      <c r="BB20" s="158"/>
      <c r="BC20" s="162"/>
      <c r="BD20" s="162"/>
      <c r="BE20" s="160"/>
      <c r="BF20" s="159"/>
      <c r="BG20" s="158"/>
      <c r="BH20" s="158"/>
      <c r="BI20" s="158"/>
      <c r="BJ20" s="158"/>
      <c r="BK20" s="160"/>
      <c r="BL20" s="163"/>
      <c r="BM20" s="163"/>
      <c r="BN20" s="163"/>
      <c r="BO20" s="166"/>
      <c r="BP20" s="167"/>
      <c r="BQ20" s="12">
        <f t="shared" ref="BQ20:BQ22" si="22">SUM(F20:BP20)</f>
        <v>28.75</v>
      </c>
      <c r="BR20" s="13">
        <f t="shared" ref="BR20:BR22" si="23">E20-BQ20</f>
        <v>0</v>
      </c>
    </row>
    <row r="21" spans="1:72" s="17" customFormat="1" ht="21" customHeight="1">
      <c r="A21" s="7" t="s">
        <v>150</v>
      </c>
      <c r="B21" s="8"/>
      <c r="C21" s="19">
        <v>3</v>
      </c>
      <c r="D21" s="21">
        <v>34</v>
      </c>
      <c r="E21" s="11">
        <f t="shared" si="21"/>
        <v>37</v>
      </c>
      <c r="F21" s="157"/>
      <c r="G21" s="158"/>
      <c r="H21" s="158"/>
      <c r="I21" s="158"/>
      <c r="J21" s="158"/>
      <c r="K21" s="279"/>
      <c r="L21" s="187">
        <v>3</v>
      </c>
      <c r="M21" s="187"/>
      <c r="N21" s="187"/>
      <c r="O21" s="243"/>
      <c r="P21" s="244"/>
      <c r="Q21" s="243"/>
      <c r="R21" s="243"/>
      <c r="S21" s="243"/>
      <c r="T21" s="243"/>
      <c r="U21" s="245"/>
      <c r="V21" s="246"/>
      <c r="W21" s="243"/>
      <c r="X21" s="247"/>
      <c r="Y21" s="247"/>
      <c r="Z21" s="245"/>
      <c r="AA21" s="248"/>
      <c r="AB21" s="243"/>
      <c r="AC21" s="243"/>
      <c r="AD21" s="243"/>
      <c r="AE21" s="245"/>
      <c r="AF21" s="243"/>
      <c r="AG21" s="243"/>
      <c r="AH21" s="243"/>
      <c r="AI21" s="243"/>
      <c r="AJ21" s="249"/>
      <c r="AK21" s="243"/>
      <c r="AL21" s="243"/>
      <c r="AM21" s="243"/>
      <c r="AN21" s="243"/>
      <c r="AO21" s="249"/>
      <c r="AP21" s="244"/>
      <c r="AQ21" s="243"/>
      <c r="AR21" s="243"/>
      <c r="AS21" s="243"/>
      <c r="AT21" s="243"/>
      <c r="AU21" s="245"/>
      <c r="AV21" s="246"/>
      <c r="AW21" s="243"/>
      <c r="AX21" s="247"/>
      <c r="AY21" s="247"/>
      <c r="AZ21" s="245"/>
      <c r="BA21" s="246"/>
      <c r="BB21" s="243"/>
      <c r="BC21" s="247"/>
      <c r="BD21" s="247"/>
      <c r="BE21" s="245"/>
      <c r="BF21" s="244"/>
      <c r="BG21" s="243"/>
      <c r="BH21" s="243"/>
      <c r="BI21" s="243"/>
      <c r="BJ21" s="243"/>
      <c r="BK21" s="245"/>
      <c r="BL21" s="243"/>
      <c r="BM21" s="243"/>
      <c r="BN21" s="243"/>
      <c r="BO21" s="250"/>
      <c r="BP21" s="251"/>
      <c r="BQ21" s="12">
        <f t="shared" si="22"/>
        <v>3</v>
      </c>
      <c r="BR21" s="13">
        <f t="shared" si="23"/>
        <v>34</v>
      </c>
    </row>
    <row r="22" spans="1:72" s="4" customFormat="1" ht="21" customHeight="1">
      <c r="A22" s="7" t="s">
        <v>142</v>
      </c>
      <c r="B22" s="8">
        <v>0</v>
      </c>
      <c r="C22" s="9">
        <v>2</v>
      </c>
      <c r="D22" s="10">
        <v>36</v>
      </c>
      <c r="E22" s="11">
        <f t="shared" si="21"/>
        <v>38</v>
      </c>
      <c r="F22" s="157"/>
      <c r="G22" s="158"/>
      <c r="H22" s="158"/>
      <c r="I22" s="187"/>
      <c r="J22" s="187"/>
      <c r="K22" s="279"/>
      <c r="L22" s="187">
        <v>2</v>
      </c>
      <c r="M22" s="73"/>
      <c r="N22" s="73"/>
      <c r="O22" s="73"/>
      <c r="P22" s="72"/>
      <c r="Q22" s="73"/>
      <c r="R22" s="73"/>
      <c r="S22" s="73"/>
      <c r="T22" s="73"/>
      <c r="U22" s="74"/>
      <c r="V22" s="75"/>
      <c r="W22" s="73"/>
      <c r="X22" s="76"/>
      <c r="Y22" s="76"/>
      <c r="Z22" s="74"/>
      <c r="AA22" s="77"/>
      <c r="AB22" s="73"/>
      <c r="AC22" s="73"/>
      <c r="AD22" s="73"/>
      <c r="AE22" s="74"/>
      <c r="AF22" s="196"/>
      <c r="AG22" s="196"/>
      <c r="AH22" s="73"/>
      <c r="AI22" s="73"/>
      <c r="AJ22" s="78"/>
      <c r="AK22" s="73"/>
      <c r="AL22" s="73"/>
      <c r="AM22" s="73"/>
      <c r="AN22" s="73"/>
      <c r="AO22" s="78"/>
      <c r="AP22" s="72"/>
      <c r="AQ22" s="73"/>
      <c r="AR22" s="73"/>
      <c r="AS22" s="73"/>
      <c r="AT22" s="73"/>
      <c r="AU22" s="74"/>
      <c r="AV22" s="75"/>
      <c r="AW22" s="73"/>
      <c r="AX22" s="76"/>
      <c r="AY22" s="76"/>
      <c r="AZ22" s="74"/>
      <c r="BA22" s="75"/>
      <c r="BB22" s="73"/>
      <c r="BC22" s="76"/>
      <c r="BD22" s="76"/>
      <c r="BE22" s="74"/>
      <c r="BF22" s="72"/>
      <c r="BG22" s="73"/>
      <c r="BH22" s="73"/>
      <c r="BI22" s="73"/>
      <c r="BJ22" s="73"/>
      <c r="BK22" s="74"/>
      <c r="BL22" s="73"/>
      <c r="BM22" s="73"/>
      <c r="BN22" s="73"/>
      <c r="BO22" s="79"/>
      <c r="BP22" s="77"/>
      <c r="BQ22" s="12">
        <f t="shared" si="22"/>
        <v>2</v>
      </c>
      <c r="BR22" s="13">
        <f t="shared" si="23"/>
        <v>36</v>
      </c>
    </row>
    <row r="23" spans="1:72" s="14" customFormat="1" ht="21" customHeight="1">
      <c r="A23" s="7"/>
      <c r="B23" s="8"/>
      <c r="C23" s="19"/>
      <c r="D23" s="21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  <c r="BT23" s="14" t="s">
        <v>72</v>
      </c>
    </row>
    <row r="24" spans="1:72" s="4" customFormat="1" ht="21" customHeight="1">
      <c r="A24" s="7"/>
      <c r="B24" s="8"/>
      <c r="C24" s="19"/>
      <c r="D24" s="21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</row>
    <row r="25" spans="1:72" ht="21" customHeight="1">
      <c r="A25" s="7"/>
      <c r="B25" s="8"/>
      <c r="C25" s="19"/>
      <c r="D25" s="20"/>
      <c r="E25" s="11">
        <f t="shared" si="12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3"/>
        <v>0</v>
      </c>
      <c r="BR25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5">
    <cfRule type="cellIs" dxfId="17" priority="1" stopIfTrue="1" operator="lessThan">
      <formula>0</formula>
    </cfRule>
    <cfRule type="cellIs" dxfId="16" priority="2" stopIfTrue="1" operator="equal">
      <formula>0</formula>
    </cfRule>
    <cfRule type="cellIs" dxfId="15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99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4D8B-45B6-4E81-9624-987B319EEE06}">
  <sheetPr>
    <pageSetUpPr fitToPage="1"/>
  </sheetPr>
  <dimension ref="A1:BT24"/>
  <sheetViews>
    <sheetView zoomScaleNormal="100" workbookViewId="0">
      <pane ySplit="7" topLeftCell="A8" activePane="bottomLeft" state="frozen"/>
      <selection pane="bottomLeft" activeCell="K13" sqref="K13:O14"/>
    </sheetView>
  </sheetViews>
  <sheetFormatPr baseColWidth="10" defaultColWidth="11.5" defaultRowHeight="16"/>
  <cols>
    <col min="1" max="1" width="13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2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2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2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2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2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2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2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2" s="14" customFormat="1" ht="21" customHeight="1">
      <c r="A8" s="7" t="s">
        <v>132</v>
      </c>
      <c r="B8" s="54">
        <v>22</v>
      </c>
      <c r="C8" s="55">
        <v>188</v>
      </c>
      <c r="D8" s="56">
        <v>38</v>
      </c>
      <c r="E8" s="57">
        <f t="shared" ref="E8:E24" si="12">SUM(B8+C8+D8)</f>
        <v>248</v>
      </c>
      <c r="F8" s="190"/>
      <c r="G8" s="191"/>
      <c r="H8" s="191"/>
      <c r="I8" s="191"/>
      <c r="J8" s="191"/>
      <c r="K8" s="276"/>
      <c r="L8" s="191"/>
      <c r="M8" s="191"/>
      <c r="N8" s="191"/>
      <c r="O8" s="191"/>
      <c r="P8" s="60"/>
      <c r="Q8" s="59"/>
      <c r="R8" s="59"/>
      <c r="S8" s="59"/>
      <c r="T8" s="59"/>
      <c r="U8" s="61"/>
      <c r="V8" s="62">
        <v>26</v>
      </c>
      <c r="W8" s="59"/>
      <c r="X8" s="63"/>
      <c r="Y8" s="63"/>
      <c r="Z8" s="172">
        <v>35</v>
      </c>
      <c r="AA8" s="58"/>
      <c r="AB8" s="59"/>
      <c r="AC8" s="59"/>
      <c r="AD8" s="59"/>
      <c r="AE8" s="61"/>
      <c r="AF8" s="59"/>
      <c r="AG8" s="173">
        <v>23</v>
      </c>
      <c r="AH8" s="173">
        <v>35</v>
      </c>
      <c r="AI8" s="59"/>
      <c r="AJ8" s="64"/>
      <c r="AK8" s="59"/>
      <c r="AL8" s="59"/>
      <c r="AM8" s="173">
        <v>46</v>
      </c>
      <c r="AN8" s="173">
        <v>36</v>
      </c>
      <c r="AO8" s="64"/>
      <c r="AP8" s="60"/>
      <c r="AQ8" s="59"/>
      <c r="AR8" s="59"/>
      <c r="AS8" s="59"/>
      <c r="AT8" s="59"/>
      <c r="AU8" s="61"/>
      <c r="AV8" s="62"/>
      <c r="AW8" s="59"/>
      <c r="AX8" s="63"/>
      <c r="AY8" s="63"/>
      <c r="AZ8" s="61"/>
      <c r="BA8" s="62"/>
      <c r="BB8" s="59"/>
      <c r="BC8" s="63"/>
      <c r="BD8" s="63"/>
      <c r="BE8" s="172">
        <v>35</v>
      </c>
      <c r="BF8" s="174">
        <v>12</v>
      </c>
      <c r="BG8" s="59"/>
      <c r="BH8" s="59"/>
      <c r="BI8" s="59"/>
      <c r="BJ8" s="59"/>
      <c r="BK8" s="61"/>
      <c r="BL8" s="59"/>
      <c r="BM8" s="59"/>
      <c r="BN8" s="59"/>
      <c r="BO8" s="65"/>
      <c r="BP8" s="58"/>
      <c r="BQ8" s="66">
        <f t="shared" ref="BQ8:BQ24" si="13">SUM(F8:BP8)</f>
        <v>248</v>
      </c>
      <c r="BR8" s="67">
        <f t="shared" ref="BR8:BR24" si="14">E8-BQ8</f>
        <v>0</v>
      </c>
    </row>
    <row r="9" spans="1:72" s="15" customFormat="1" ht="21" customHeight="1">
      <c r="A9" s="7" t="s">
        <v>107</v>
      </c>
      <c r="B9" s="8">
        <v>10</v>
      </c>
      <c r="C9" s="9">
        <v>188</v>
      </c>
      <c r="D9" s="10">
        <v>38</v>
      </c>
      <c r="E9" s="11">
        <f t="shared" si="12"/>
        <v>236</v>
      </c>
      <c r="F9" s="186"/>
      <c r="G9" s="187"/>
      <c r="H9" s="187"/>
      <c r="I9" s="187"/>
      <c r="J9" s="187"/>
      <c r="K9" s="279"/>
      <c r="L9" s="187"/>
      <c r="M9" s="187">
        <v>35.5</v>
      </c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35">
        <v>24</v>
      </c>
      <c r="AC9" s="35"/>
      <c r="AD9" s="43"/>
      <c r="AE9" s="44"/>
      <c r="AF9" s="43"/>
      <c r="AG9" s="43"/>
      <c r="AH9" s="43"/>
      <c r="AI9" s="43"/>
      <c r="AJ9" s="176">
        <v>24</v>
      </c>
      <c r="AK9" s="177">
        <v>12</v>
      </c>
      <c r="AL9" s="43"/>
      <c r="AM9" s="43"/>
      <c r="AN9" s="43"/>
      <c r="AO9" s="45"/>
      <c r="AP9" s="36"/>
      <c r="AQ9" s="35"/>
      <c r="AR9" s="175">
        <v>46</v>
      </c>
      <c r="AS9" s="175">
        <v>36</v>
      </c>
      <c r="AT9" s="35"/>
      <c r="AU9" s="178">
        <v>24</v>
      </c>
      <c r="AV9" s="179">
        <v>23</v>
      </c>
      <c r="AW9" s="35"/>
      <c r="AX9" s="39"/>
      <c r="AY9" s="39"/>
      <c r="AZ9" s="37"/>
      <c r="BA9" s="38"/>
      <c r="BB9" s="35"/>
      <c r="BC9" s="39"/>
      <c r="BD9" s="39"/>
      <c r="BE9" s="37"/>
      <c r="BF9" s="36"/>
      <c r="BG9" s="35"/>
      <c r="BH9" s="35"/>
      <c r="BI9" s="35">
        <v>11</v>
      </c>
      <c r="BJ9" s="35"/>
      <c r="BK9" s="37"/>
      <c r="BL9" s="43"/>
      <c r="BM9" s="43"/>
      <c r="BN9" s="43"/>
      <c r="BO9" s="46"/>
      <c r="BP9" s="42"/>
      <c r="BQ9" s="12">
        <f t="shared" si="13"/>
        <v>235.5</v>
      </c>
      <c r="BR9" s="13">
        <f t="shared" si="14"/>
        <v>0.5</v>
      </c>
      <c r="BT9" s="15">
        <v>3</v>
      </c>
    </row>
    <row r="10" spans="1:72" s="14" customFormat="1" ht="21" customHeight="1">
      <c r="A10" s="7" t="s">
        <v>108</v>
      </c>
      <c r="B10" s="8">
        <v>1</v>
      </c>
      <c r="C10" s="9">
        <v>188</v>
      </c>
      <c r="D10" s="10">
        <v>38</v>
      </c>
      <c r="E10" s="11">
        <f t="shared" si="12"/>
        <v>227</v>
      </c>
      <c r="F10" s="186"/>
      <c r="G10" s="187"/>
      <c r="H10" s="187"/>
      <c r="I10" s="187"/>
      <c r="J10" s="187"/>
      <c r="K10" s="279"/>
      <c r="L10" s="187"/>
      <c r="M10" s="187"/>
      <c r="N10" s="187"/>
      <c r="O10" s="187"/>
      <c r="P10" s="36"/>
      <c r="Q10" s="35"/>
      <c r="R10" s="35"/>
      <c r="S10" s="35"/>
      <c r="T10" s="35"/>
      <c r="U10" s="37"/>
      <c r="V10" s="179">
        <v>24</v>
      </c>
      <c r="W10" s="175">
        <v>23</v>
      </c>
      <c r="X10" s="39"/>
      <c r="Y10" s="39"/>
      <c r="Z10" s="37"/>
      <c r="AA10" s="42"/>
      <c r="AB10" s="43">
        <v>3</v>
      </c>
      <c r="AC10" s="35"/>
      <c r="AD10" s="43"/>
      <c r="AE10" s="44"/>
      <c r="AF10" s="43"/>
      <c r="AG10" s="43"/>
      <c r="AH10" s="43"/>
      <c r="AI10" s="43"/>
      <c r="AJ10" s="47"/>
      <c r="AK10" s="43"/>
      <c r="AL10" s="43"/>
      <c r="AM10" s="43"/>
      <c r="AN10" s="177">
        <v>47</v>
      </c>
      <c r="AO10" s="176">
        <v>36</v>
      </c>
      <c r="AP10" s="36"/>
      <c r="AQ10" s="35"/>
      <c r="AR10" s="35"/>
      <c r="AS10" s="35"/>
      <c r="AT10" s="35"/>
      <c r="AU10" s="37"/>
      <c r="AV10" s="38"/>
      <c r="AW10" s="35"/>
      <c r="AX10" s="39"/>
      <c r="AY10" s="39"/>
      <c r="AZ10" s="37"/>
      <c r="BA10" s="38"/>
      <c r="BB10" s="35"/>
      <c r="BC10" s="180">
        <v>47</v>
      </c>
      <c r="BD10" s="39"/>
      <c r="BE10" s="37"/>
      <c r="BF10" s="36"/>
      <c r="BG10" s="35"/>
      <c r="BH10" s="35"/>
      <c r="BI10" s="35"/>
      <c r="BJ10" s="35"/>
      <c r="BK10" s="37"/>
      <c r="BL10" s="43"/>
      <c r="BM10" s="177">
        <v>47</v>
      </c>
      <c r="BN10" s="43"/>
      <c r="BO10" s="46"/>
      <c r="BP10" s="42"/>
      <c r="BQ10" s="12">
        <f t="shared" si="13"/>
        <v>227</v>
      </c>
      <c r="BR10" s="13">
        <f t="shared" si="14"/>
        <v>0</v>
      </c>
    </row>
    <row r="11" spans="1:72" s="4" customFormat="1" ht="21" customHeight="1">
      <c r="A11" s="7" t="s">
        <v>110</v>
      </c>
      <c r="B11" s="8">
        <v>0</v>
      </c>
      <c r="C11" s="9">
        <v>188</v>
      </c>
      <c r="D11" s="10">
        <v>38</v>
      </c>
      <c r="E11" s="11">
        <f t="shared" si="12"/>
        <v>226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/>
      <c r="AB11" s="35"/>
      <c r="AC11" s="175">
        <v>36</v>
      </c>
      <c r="AD11" s="43"/>
      <c r="AE11" s="44"/>
      <c r="AF11" s="43"/>
      <c r="AG11" s="43"/>
      <c r="AH11" s="43"/>
      <c r="AI11" s="177">
        <v>46</v>
      </c>
      <c r="AJ11" s="45"/>
      <c r="AK11" s="43"/>
      <c r="AL11" s="43"/>
      <c r="AM11" s="43"/>
      <c r="AN11" s="43"/>
      <c r="AO11" s="45"/>
      <c r="AP11" s="36"/>
      <c r="AQ11" s="35"/>
      <c r="AR11" s="35"/>
      <c r="AS11" s="175">
        <v>47</v>
      </c>
      <c r="AT11" s="175">
        <v>36</v>
      </c>
      <c r="AU11" s="37"/>
      <c r="AV11" s="38"/>
      <c r="AW11" s="35"/>
      <c r="AX11" s="39"/>
      <c r="AY11" s="39"/>
      <c r="AZ11" s="37"/>
      <c r="BA11" s="38"/>
      <c r="BB11" s="35"/>
      <c r="BC11" s="39"/>
      <c r="BD11" s="180">
        <v>47</v>
      </c>
      <c r="BE11" s="37"/>
      <c r="BF11" s="36"/>
      <c r="BG11" s="35"/>
      <c r="BH11" s="35"/>
      <c r="BI11" s="35"/>
      <c r="BJ11" s="35">
        <v>14</v>
      </c>
      <c r="BK11" s="37"/>
      <c r="BL11" s="43"/>
      <c r="BM11" s="43"/>
      <c r="BN11" s="43"/>
      <c r="BO11" s="46"/>
      <c r="BP11" s="42"/>
      <c r="BQ11" s="12">
        <f t="shared" si="13"/>
        <v>226</v>
      </c>
      <c r="BR11" s="13">
        <f t="shared" si="14"/>
        <v>0</v>
      </c>
    </row>
    <row r="12" spans="1:72" s="14" customFormat="1" ht="21" customHeight="1" thickBot="1">
      <c r="A12" s="27" t="s">
        <v>129</v>
      </c>
      <c r="B12" s="84">
        <v>34</v>
      </c>
      <c r="C12" s="85">
        <v>188</v>
      </c>
      <c r="D12" s="86">
        <v>38</v>
      </c>
      <c r="E12" s="87">
        <f t="shared" si="12"/>
        <v>260</v>
      </c>
      <c r="F12" s="192">
        <v>24</v>
      </c>
      <c r="G12" s="193">
        <v>23</v>
      </c>
      <c r="H12" s="193"/>
      <c r="I12" s="193"/>
      <c r="J12" s="193"/>
      <c r="K12" s="280"/>
      <c r="L12" s="193"/>
      <c r="M12" s="193"/>
      <c r="N12" s="193">
        <v>23.5</v>
      </c>
      <c r="O12" s="193">
        <v>35</v>
      </c>
      <c r="P12" s="90"/>
      <c r="Q12" s="89"/>
      <c r="R12" s="89"/>
      <c r="S12" s="89"/>
      <c r="T12" s="89"/>
      <c r="U12" s="91"/>
      <c r="V12" s="92"/>
      <c r="W12" s="89"/>
      <c r="X12" s="93"/>
      <c r="Y12" s="93">
        <v>23</v>
      </c>
      <c r="Z12" s="91"/>
      <c r="AA12" s="88"/>
      <c r="AB12" s="89"/>
      <c r="AC12" s="89"/>
      <c r="AD12" s="89"/>
      <c r="AE12" s="91"/>
      <c r="AF12" s="89"/>
      <c r="AG12" s="89"/>
      <c r="AH12" s="89"/>
      <c r="AI12" s="89"/>
      <c r="AJ12" s="94"/>
      <c r="AK12" s="89"/>
      <c r="AL12" s="199"/>
      <c r="AM12" s="89"/>
      <c r="AN12" s="89"/>
      <c r="AO12" s="94"/>
      <c r="AP12" s="90"/>
      <c r="AQ12" s="89"/>
      <c r="AR12" s="89"/>
      <c r="AS12" s="89"/>
      <c r="AT12" s="89"/>
      <c r="AU12" s="91"/>
      <c r="AV12" s="92"/>
      <c r="AW12" s="181">
        <v>47</v>
      </c>
      <c r="AX12" s="182">
        <v>23</v>
      </c>
      <c r="AY12" s="182">
        <v>36</v>
      </c>
      <c r="AZ12" s="91"/>
      <c r="BA12" s="92"/>
      <c r="BB12" s="89"/>
      <c r="BC12" s="93"/>
      <c r="BD12" s="93"/>
      <c r="BE12" s="91"/>
      <c r="BF12" s="90"/>
      <c r="BG12" s="89"/>
      <c r="BH12" s="89">
        <v>26</v>
      </c>
      <c r="BI12" s="89"/>
      <c r="BJ12" s="89"/>
      <c r="BK12" s="91"/>
      <c r="BL12" s="89"/>
      <c r="BM12" s="95"/>
      <c r="BN12" s="95"/>
      <c r="BO12" s="96"/>
      <c r="BP12" s="88"/>
      <c r="BQ12" s="136">
        <f t="shared" si="13"/>
        <v>260.5</v>
      </c>
      <c r="BR12" s="13">
        <f t="shared" si="14"/>
        <v>-0.5</v>
      </c>
    </row>
    <row r="13" spans="1:72" s="14" customFormat="1" ht="21" customHeight="1">
      <c r="A13" s="26" t="s">
        <v>109</v>
      </c>
      <c r="B13" s="54">
        <v>9</v>
      </c>
      <c r="C13" s="104">
        <v>150</v>
      </c>
      <c r="D13" s="105">
        <v>30</v>
      </c>
      <c r="E13" s="57">
        <f t="shared" ref="E13" si="15">SUM(B13+C13+D13)</f>
        <v>189</v>
      </c>
      <c r="F13" s="190"/>
      <c r="G13" s="191">
        <v>4</v>
      </c>
      <c r="H13" s="191"/>
      <c r="I13" s="191"/>
      <c r="J13" s="191"/>
      <c r="K13" s="276"/>
      <c r="L13" s="191"/>
      <c r="M13" s="191"/>
      <c r="N13" s="191"/>
      <c r="O13" s="191"/>
      <c r="P13" s="60"/>
      <c r="Q13" s="59"/>
      <c r="R13" s="59"/>
      <c r="S13" s="59"/>
      <c r="T13" s="59"/>
      <c r="U13" s="61"/>
      <c r="V13" s="62"/>
      <c r="W13" s="59"/>
      <c r="X13" s="63"/>
      <c r="Y13" s="63"/>
      <c r="Z13" s="61"/>
      <c r="AA13" s="58"/>
      <c r="AB13" s="138"/>
      <c r="AC13" s="59"/>
      <c r="AD13" s="59"/>
      <c r="AE13" s="61"/>
      <c r="AF13" s="59"/>
      <c r="AG13" s="59"/>
      <c r="AH13" s="59"/>
      <c r="AI13" s="59"/>
      <c r="AJ13" s="64"/>
      <c r="AK13" s="59"/>
      <c r="AL13" s="173">
        <v>30</v>
      </c>
      <c r="AM13" s="173">
        <v>30</v>
      </c>
      <c r="AN13" s="59"/>
      <c r="AO13" s="64"/>
      <c r="AP13" s="60"/>
      <c r="AQ13" s="59">
        <v>30</v>
      </c>
      <c r="AR13" s="59">
        <v>30</v>
      </c>
      <c r="AS13" s="59"/>
      <c r="AT13" s="59"/>
      <c r="AU13" s="61"/>
      <c r="AV13" s="62"/>
      <c r="AW13" s="59"/>
      <c r="AX13" s="63"/>
      <c r="AY13" s="63"/>
      <c r="AZ13" s="61"/>
      <c r="BA13" s="62"/>
      <c r="BB13" s="59"/>
      <c r="BC13" s="63">
        <v>18</v>
      </c>
      <c r="BD13" s="63"/>
      <c r="BE13" s="61"/>
      <c r="BF13" s="60"/>
      <c r="BG13" s="59"/>
      <c r="BH13" s="59"/>
      <c r="BI13" s="59"/>
      <c r="BJ13" s="59"/>
      <c r="BK13" s="61"/>
      <c r="BL13" s="59"/>
      <c r="BM13" s="59"/>
      <c r="BN13" s="59"/>
      <c r="BO13" s="200">
        <v>20</v>
      </c>
      <c r="BP13" s="201">
        <v>27</v>
      </c>
      <c r="BQ13" s="66">
        <f t="shared" ref="BQ13" si="16">SUM(F13:BP13)</f>
        <v>189</v>
      </c>
      <c r="BR13" s="13">
        <f t="shared" ref="BR13" si="17">E13-BQ13</f>
        <v>0</v>
      </c>
      <c r="BS13" s="16"/>
    </row>
    <row r="14" spans="1:72" s="14" customFormat="1" ht="21" customHeight="1">
      <c r="A14" s="28" t="s">
        <v>111</v>
      </c>
      <c r="B14" s="8">
        <v>41</v>
      </c>
      <c r="C14" s="9">
        <v>200</v>
      </c>
      <c r="D14" s="10">
        <v>0</v>
      </c>
      <c r="E14" s="11">
        <f t="shared" si="12"/>
        <v>241</v>
      </c>
      <c r="F14" s="186"/>
      <c r="G14" s="187"/>
      <c r="H14" s="187"/>
      <c r="I14" s="187"/>
      <c r="J14" s="187"/>
      <c r="K14" s="279"/>
      <c r="L14" s="187"/>
      <c r="M14" s="187"/>
      <c r="N14" s="187"/>
      <c r="O14" s="187"/>
      <c r="P14" s="36"/>
      <c r="Q14" s="175">
        <v>40</v>
      </c>
      <c r="R14" s="35"/>
      <c r="S14" s="35"/>
      <c r="T14" s="35"/>
      <c r="U14" s="37"/>
      <c r="V14" s="38"/>
      <c r="W14" s="35"/>
      <c r="X14" s="39"/>
      <c r="Y14" s="39"/>
      <c r="Z14" s="178">
        <v>8</v>
      </c>
      <c r="AA14" s="34"/>
      <c r="AB14" s="35"/>
      <c r="AC14" s="35"/>
      <c r="AD14" s="35"/>
      <c r="AE14" s="37"/>
      <c r="AF14" s="35"/>
      <c r="AG14" s="35"/>
      <c r="AH14" s="175">
        <v>40</v>
      </c>
      <c r="AI14" s="35"/>
      <c r="AJ14" s="40"/>
      <c r="AK14" s="35"/>
      <c r="AL14" s="175">
        <v>16</v>
      </c>
      <c r="AM14" s="35"/>
      <c r="AN14" s="35"/>
      <c r="AO14" s="40"/>
      <c r="AP14" s="36"/>
      <c r="AQ14" s="35"/>
      <c r="AR14" s="175">
        <v>40</v>
      </c>
      <c r="AS14" s="35"/>
      <c r="AT14" s="35"/>
      <c r="AU14" s="37"/>
      <c r="AV14" s="38"/>
      <c r="AW14" s="35"/>
      <c r="AX14" s="39"/>
      <c r="AY14" s="39"/>
      <c r="AZ14" s="37"/>
      <c r="BA14" s="38"/>
      <c r="BB14" s="35">
        <v>40</v>
      </c>
      <c r="BC14" s="39"/>
      <c r="BD14" s="39"/>
      <c r="BE14" s="37"/>
      <c r="BF14" s="36"/>
      <c r="BG14" s="35">
        <v>25</v>
      </c>
      <c r="BH14" s="35"/>
      <c r="BI14" s="35"/>
      <c r="BJ14" s="35"/>
      <c r="BK14" s="37"/>
      <c r="BL14" s="35"/>
      <c r="BM14" s="35"/>
      <c r="BN14" s="35"/>
      <c r="BO14" s="41"/>
      <c r="BP14" s="211">
        <v>32</v>
      </c>
      <c r="BQ14" s="12">
        <f t="shared" si="13"/>
        <v>241</v>
      </c>
      <c r="BR14" s="13">
        <f t="shared" si="14"/>
        <v>0</v>
      </c>
    </row>
    <row r="15" spans="1:72" s="14" customFormat="1" ht="21" customHeight="1">
      <c r="A15" s="7"/>
      <c r="B15" s="8"/>
      <c r="C15" s="9"/>
      <c r="D15" s="10"/>
      <c r="E15" s="11">
        <f t="shared" si="12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37"/>
      <c r="AF15" s="35"/>
      <c r="AG15" s="35"/>
      <c r="AH15" s="35"/>
      <c r="AI15" s="35"/>
      <c r="AJ15" s="40"/>
      <c r="AK15" s="35"/>
      <c r="AL15" s="35"/>
      <c r="AM15" s="35"/>
      <c r="AN15" s="35"/>
      <c r="AO15" s="40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/>
      <c r="BP15" s="34"/>
      <c r="BQ15" s="12">
        <f t="shared" si="13"/>
        <v>0</v>
      </c>
      <c r="BR15" s="13">
        <f t="shared" si="14"/>
        <v>0</v>
      </c>
    </row>
    <row r="16" spans="1:72" s="17" customFormat="1" ht="21" customHeight="1">
      <c r="A16" s="7"/>
      <c r="B16" s="8"/>
      <c r="C16" s="19"/>
      <c r="D16" s="21"/>
      <c r="E16" s="11">
        <f t="shared" si="12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42"/>
      <c r="BQ16" s="12">
        <f t="shared" si="13"/>
        <v>0</v>
      </c>
      <c r="BR16" s="13">
        <f t="shared" si="14"/>
        <v>0</v>
      </c>
    </row>
    <row r="17" spans="1:72" s="17" customFormat="1" ht="21" customHeight="1">
      <c r="A17" s="25"/>
      <c r="B17" s="8"/>
      <c r="C17" s="9"/>
      <c r="D17" s="10"/>
      <c r="E17" s="11">
        <f t="shared" si="12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34"/>
      <c r="BQ17" s="12">
        <f t="shared" si="13"/>
        <v>0</v>
      </c>
      <c r="BR17" s="13">
        <f t="shared" si="14"/>
        <v>0</v>
      </c>
    </row>
    <row r="18" spans="1:72" s="14" customFormat="1" ht="21" customHeight="1">
      <c r="A18" s="25"/>
      <c r="B18" s="8"/>
      <c r="C18" s="9"/>
      <c r="D18" s="8"/>
      <c r="E18" s="11">
        <f t="shared" si="12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43"/>
      <c r="S18" s="43"/>
      <c r="T18" s="43"/>
      <c r="U18" s="44"/>
      <c r="V18" s="38"/>
      <c r="W18" s="35"/>
      <c r="X18" s="39"/>
      <c r="Y18" s="39"/>
      <c r="Z18" s="37"/>
      <c r="AA18" s="42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43"/>
      <c r="AS18" s="43"/>
      <c r="AT18" s="43"/>
      <c r="AU18" s="44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43"/>
      <c r="BI18" s="43"/>
      <c r="BJ18" s="43"/>
      <c r="BK18" s="44"/>
      <c r="BL18" s="35"/>
      <c r="BM18" s="35"/>
      <c r="BN18" s="35"/>
      <c r="BO18" s="46"/>
      <c r="BP18" s="42"/>
      <c r="BQ18" s="12">
        <f t="shared" si="13"/>
        <v>0</v>
      </c>
      <c r="BR18" s="13">
        <f t="shared" si="14"/>
        <v>0</v>
      </c>
    </row>
    <row r="19" spans="1:72" s="14" customFormat="1" ht="21" customHeight="1">
      <c r="A19" s="7"/>
      <c r="B19" s="8"/>
      <c r="C19" s="9"/>
      <c r="D19" s="10"/>
      <c r="E19" s="11">
        <f t="shared" si="12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34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35"/>
      <c r="AS19" s="35"/>
      <c r="AT19" s="35"/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35"/>
      <c r="BM19" s="35"/>
      <c r="BN19" s="35"/>
      <c r="BO19" s="41"/>
      <c r="BP19" s="34"/>
      <c r="BQ19" s="12">
        <f t="shared" si="13"/>
        <v>0</v>
      </c>
      <c r="BR19" s="13">
        <f t="shared" si="14"/>
        <v>0</v>
      </c>
      <c r="BT19" s="14" t="s">
        <v>72</v>
      </c>
    </row>
    <row r="20" spans="1:72" s="4" customFormat="1" ht="21" customHeight="1">
      <c r="A20" s="7"/>
      <c r="B20" s="8"/>
      <c r="C20" s="9"/>
      <c r="D20" s="18"/>
      <c r="E20" s="11">
        <f t="shared" si="12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35"/>
      <c r="AS20" s="35"/>
      <c r="AT20" s="35"/>
      <c r="AU20" s="37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35"/>
      <c r="BI20" s="35"/>
      <c r="BJ20" s="35"/>
      <c r="BK20" s="37"/>
      <c r="BL20" s="35"/>
      <c r="BM20" s="35"/>
      <c r="BN20" s="35"/>
      <c r="BO20" s="41"/>
      <c r="BP20" s="34"/>
      <c r="BQ20" s="12">
        <f t="shared" si="13"/>
        <v>0</v>
      </c>
      <c r="BR20" s="13">
        <f t="shared" si="14"/>
        <v>0</v>
      </c>
    </row>
    <row r="21" spans="1:72" ht="21" customHeight="1">
      <c r="A21" s="7"/>
      <c r="B21" s="8"/>
      <c r="C21" s="19"/>
      <c r="D21" s="20"/>
      <c r="E21" s="11">
        <f t="shared" si="12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3"/>
        <v>0</v>
      </c>
      <c r="BR21" s="13">
        <f t="shared" si="14"/>
        <v>0</v>
      </c>
    </row>
    <row r="22" spans="1:72" s="14" customFormat="1" ht="21" customHeight="1">
      <c r="A22" s="7"/>
      <c r="B22" s="8"/>
      <c r="C22" s="19"/>
      <c r="D22" s="21"/>
      <c r="E22" s="11">
        <f t="shared" si="12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3"/>
        <v>0</v>
      </c>
      <c r="BR22" s="13">
        <f t="shared" si="14"/>
        <v>0</v>
      </c>
      <c r="BT22" s="14" t="s">
        <v>72</v>
      </c>
    </row>
    <row r="23" spans="1:72" s="4" customFormat="1" ht="21" customHeight="1">
      <c r="A23" s="7"/>
      <c r="B23" s="8"/>
      <c r="C23" s="19"/>
      <c r="D23" s="21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</row>
    <row r="24" spans="1:72" ht="21" customHeight="1">
      <c r="A24" s="7"/>
      <c r="B24" s="8"/>
      <c r="C24" s="19"/>
      <c r="D24" s="20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4">
    <cfRule type="cellIs" dxfId="14" priority="1" stopIfTrue="1" operator="lessThan">
      <formula>0</formula>
    </cfRule>
    <cfRule type="cellIs" dxfId="13" priority="2" stopIfTrue="1" operator="equal">
      <formula>0</formula>
    </cfRule>
    <cfRule type="cellIs" dxfId="12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70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F418-EBCD-4D0A-9606-07B41AAB9398}">
  <sheetPr>
    <pageSetUpPr fitToPage="1"/>
  </sheetPr>
  <dimension ref="A1:BR25"/>
  <sheetViews>
    <sheetView zoomScaleNormal="100" workbookViewId="0">
      <pane ySplit="7" topLeftCell="A8" activePane="bottomLeft" state="frozen"/>
      <selection pane="bottomLeft" activeCell="S10" sqref="S10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1" width="1.83203125" style="24" customWidth="1"/>
    <col min="42" max="42" width="1.83203125" style="24" hidden="1" customWidth="1"/>
    <col min="43" max="45" width="1.83203125" style="24" customWidth="1"/>
    <col min="46" max="46" width="2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0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0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0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0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0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0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0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0" s="14" customFormat="1" ht="21" customHeight="1">
      <c r="A8" s="7" t="s">
        <v>67</v>
      </c>
      <c r="B8" s="54">
        <v>64</v>
      </c>
      <c r="C8" s="55">
        <v>200</v>
      </c>
      <c r="D8" s="56">
        <v>0</v>
      </c>
      <c r="E8" s="57">
        <f t="shared" ref="E8:E25" si="12">SUM(B8+C8+D8)</f>
        <v>264</v>
      </c>
      <c r="F8" s="190"/>
      <c r="G8" s="191">
        <v>16</v>
      </c>
      <c r="H8" s="191"/>
      <c r="I8" s="191"/>
      <c r="J8" s="191"/>
      <c r="K8" s="276"/>
      <c r="L8" s="191"/>
      <c r="M8" s="191"/>
      <c r="N8" s="191"/>
      <c r="O8" s="191"/>
      <c r="P8" s="60"/>
      <c r="Q8" s="59"/>
      <c r="R8" s="59"/>
      <c r="S8" s="59"/>
      <c r="T8" s="59"/>
      <c r="U8" s="61"/>
      <c r="V8" s="62"/>
      <c r="W8" s="228">
        <v>32</v>
      </c>
      <c r="X8" s="63"/>
      <c r="Y8" s="63"/>
      <c r="Z8" s="61"/>
      <c r="AA8" s="58"/>
      <c r="AB8" s="59">
        <v>32</v>
      </c>
      <c r="AC8" s="59"/>
      <c r="AD8" s="59"/>
      <c r="AE8" s="61"/>
      <c r="AF8" s="59"/>
      <c r="AG8" s="59"/>
      <c r="AH8" s="59"/>
      <c r="AI8" s="59"/>
      <c r="AJ8" s="64"/>
      <c r="AK8" s="59"/>
      <c r="AL8" s="228">
        <v>32</v>
      </c>
      <c r="AM8" s="59"/>
      <c r="AN8" s="59"/>
      <c r="AO8" s="64"/>
      <c r="AP8" s="60"/>
      <c r="AQ8" s="59"/>
      <c r="AR8" s="59"/>
      <c r="AS8" s="228">
        <v>40</v>
      </c>
      <c r="AT8" s="228">
        <v>40</v>
      </c>
      <c r="AU8" s="61"/>
      <c r="AV8" s="62"/>
      <c r="AW8" s="59"/>
      <c r="AX8" s="63"/>
      <c r="AY8" s="63"/>
      <c r="AZ8" s="61"/>
      <c r="BA8" s="62"/>
      <c r="BB8" s="59"/>
      <c r="BC8" s="63">
        <v>40</v>
      </c>
      <c r="BD8" s="63"/>
      <c r="BE8" s="61"/>
      <c r="BF8" s="60"/>
      <c r="BG8" s="59"/>
      <c r="BH8" s="59"/>
      <c r="BI8" s="59"/>
      <c r="BJ8" s="59"/>
      <c r="BK8" s="61"/>
      <c r="BL8" s="59"/>
      <c r="BM8" s="59"/>
      <c r="BN8" s="59"/>
      <c r="BO8" s="65"/>
      <c r="BP8" s="58">
        <v>32</v>
      </c>
      <c r="BQ8" s="66">
        <f t="shared" ref="BQ8:BQ25" si="13">SUM(F8:BP8)</f>
        <v>264</v>
      </c>
      <c r="BR8" s="67">
        <f t="shared" ref="BR8:BR25" si="14">E8-BQ8</f>
        <v>0</v>
      </c>
    </row>
    <row r="9" spans="1:70" s="15" customFormat="1" ht="21" customHeight="1">
      <c r="A9" s="7" t="s">
        <v>112</v>
      </c>
      <c r="B9" s="8">
        <v>0</v>
      </c>
      <c r="C9" s="9">
        <v>50</v>
      </c>
      <c r="D9" s="10">
        <v>0</v>
      </c>
      <c r="E9" s="11">
        <f t="shared" si="12"/>
        <v>50</v>
      </c>
      <c r="F9" s="186"/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35">
        <v>6</v>
      </c>
      <c r="AC9" s="35"/>
      <c r="AD9" s="43"/>
      <c r="AE9" s="44"/>
      <c r="AF9" s="43"/>
      <c r="AG9" s="43"/>
      <c r="AH9" s="43">
        <v>10</v>
      </c>
      <c r="AI9" s="43"/>
      <c r="AJ9" s="45"/>
      <c r="AK9" s="43"/>
      <c r="AL9" s="43"/>
      <c r="AM9" s="43"/>
      <c r="AN9" s="43"/>
      <c r="AO9" s="45"/>
      <c r="AP9" s="36"/>
      <c r="AQ9" s="35"/>
      <c r="AR9" s="35"/>
      <c r="AS9" s="35"/>
      <c r="AT9" s="35"/>
      <c r="AU9" s="37"/>
      <c r="AV9" s="38"/>
      <c r="AW9" s="35"/>
      <c r="AX9" s="39">
        <v>10</v>
      </c>
      <c r="AY9" s="39">
        <v>10</v>
      </c>
      <c r="AZ9" s="37"/>
      <c r="BA9" s="38"/>
      <c r="BB9" s="35"/>
      <c r="BC9" s="39"/>
      <c r="BD9" s="39"/>
      <c r="BE9" s="37"/>
      <c r="BF9" s="36"/>
      <c r="BG9" s="35"/>
      <c r="BH9" s="35"/>
      <c r="BI9" s="35"/>
      <c r="BJ9" s="35"/>
      <c r="BK9" s="37"/>
      <c r="BL9" s="43"/>
      <c r="BM9" s="43"/>
      <c r="BN9" s="43"/>
      <c r="BO9" s="46">
        <v>6</v>
      </c>
      <c r="BP9" s="42">
        <v>8</v>
      </c>
      <c r="BQ9" s="12">
        <f t="shared" si="13"/>
        <v>50</v>
      </c>
      <c r="BR9" s="13">
        <f t="shared" si="14"/>
        <v>0</v>
      </c>
    </row>
    <row r="10" spans="1:70" s="14" customFormat="1" ht="21" customHeight="1">
      <c r="A10" s="7" t="s">
        <v>113</v>
      </c>
      <c r="B10" s="8">
        <v>46.5</v>
      </c>
      <c r="C10" s="9">
        <v>138</v>
      </c>
      <c r="D10" s="10">
        <v>0</v>
      </c>
      <c r="E10" s="11">
        <f t="shared" si="12"/>
        <v>184.5</v>
      </c>
      <c r="F10" s="186"/>
      <c r="G10" s="187">
        <v>22</v>
      </c>
      <c r="H10" s="187"/>
      <c r="I10" s="187"/>
      <c r="J10" s="187"/>
      <c r="K10" s="279"/>
      <c r="L10" s="187"/>
      <c r="M10" s="187">
        <v>22</v>
      </c>
      <c r="N10" s="187"/>
      <c r="O10" s="187"/>
      <c r="P10" s="36"/>
      <c r="Q10" s="35"/>
      <c r="R10" s="35"/>
      <c r="S10" s="35"/>
      <c r="T10" s="35"/>
      <c r="U10" s="37"/>
      <c r="V10" s="38"/>
      <c r="W10" s="35"/>
      <c r="X10" s="39"/>
      <c r="Y10" s="39"/>
      <c r="Z10" s="37">
        <v>11</v>
      </c>
      <c r="AA10" s="42"/>
      <c r="AB10" s="43"/>
      <c r="AC10" s="35"/>
      <c r="AD10" s="43"/>
      <c r="AE10" s="44"/>
      <c r="AF10" s="43"/>
      <c r="AG10" s="43"/>
      <c r="AH10" s="43"/>
      <c r="AI10" s="43"/>
      <c r="AJ10" s="47"/>
      <c r="AK10" s="43"/>
      <c r="AL10" s="43"/>
      <c r="AM10" s="43"/>
      <c r="AN10" s="43"/>
      <c r="AO10" s="169">
        <v>27.5</v>
      </c>
      <c r="AP10" s="240"/>
      <c r="AQ10" s="170">
        <v>27.5</v>
      </c>
      <c r="AR10" s="35"/>
      <c r="AS10" s="35"/>
      <c r="AT10" s="35"/>
      <c r="AU10" s="37"/>
      <c r="AV10" s="38"/>
      <c r="AW10" s="35"/>
      <c r="AX10" s="39"/>
      <c r="AY10" s="39"/>
      <c r="AZ10" s="37">
        <v>22</v>
      </c>
      <c r="BA10" s="38"/>
      <c r="BB10" s="35"/>
      <c r="BC10" s="39"/>
      <c r="BD10" s="39"/>
      <c r="BE10" s="37">
        <v>22</v>
      </c>
      <c r="BF10" s="36"/>
      <c r="BG10" s="35"/>
      <c r="BH10" s="35"/>
      <c r="BI10" s="35"/>
      <c r="BJ10" s="35"/>
      <c r="BK10" s="37"/>
      <c r="BL10" s="43"/>
      <c r="BM10" s="43"/>
      <c r="BN10" s="43">
        <v>11</v>
      </c>
      <c r="BO10" s="46">
        <v>16.5</v>
      </c>
      <c r="BP10" s="42">
        <v>22</v>
      </c>
      <c r="BQ10" s="12">
        <f t="shared" si="13"/>
        <v>203.5</v>
      </c>
      <c r="BR10" s="13">
        <f t="shared" si="14"/>
        <v>-19</v>
      </c>
    </row>
    <row r="11" spans="1:70" s="14" customFormat="1" ht="21" customHeight="1">
      <c r="A11" s="7" t="s">
        <v>114</v>
      </c>
      <c r="B11" s="8">
        <v>4</v>
      </c>
      <c r="C11" s="19">
        <v>160</v>
      </c>
      <c r="D11" s="21">
        <v>0</v>
      </c>
      <c r="E11" s="11">
        <f t="shared" si="12"/>
        <v>164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>
        <v>4</v>
      </c>
      <c r="AB11" s="43"/>
      <c r="AC11" s="35"/>
      <c r="AD11" s="35"/>
      <c r="AE11" s="37"/>
      <c r="AF11" s="35"/>
      <c r="AG11" s="35"/>
      <c r="AH11" s="35"/>
      <c r="AI11" s="35"/>
      <c r="AJ11" s="40"/>
      <c r="AK11" s="35"/>
      <c r="AL11" s="35"/>
      <c r="AM11" s="35"/>
      <c r="AN11" s="170">
        <v>32</v>
      </c>
      <c r="AO11" s="215">
        <v>32</v>
      </c>
      <c r="AP11" s="240"/>
      <c r="AQ11" s="170">
        <v>32</v>
      </c>
      <c r="AR11" s="35"/>
      <c r="AS11" s="35"/>
      <c r="AT11" s="35"/>
      <c r="AU11" s="37"/>
      <c r="AV11" s="38"/>
      <c r="AW11" s="35"/>
      <c r="AX11" s="39"/>
      <c r="AY11" s="39"/>
      <c r="AZ11" s="37"/>
      <c r="BA11" s="38"/>
      <c r="BB11" s="35"/>
      <c r="BC11" s="39"/>
      <c r="BD11" s="39"/>
      <c r="BE11" s="37">
        <v>16</v>
      </c>
      <c r="BF11" s="36"/>
      <c r="BG11" s="35"/>
      <c r="BH11" s="35"/>
      <c r="BI11" s="35">
        <v>8</v>
      </c>
      <c r="BJ11" s="35"/>
      <c r="BK11" s="37"/>
      <c r="BL11" s="35"/>
      <c r="BM11" s="35"/>
      <c r="BN11" s="35"/>
      <c r="BO11" s="219">
        <v>8</v>
      </c>
      <c r="BP11" s="218">
        <v>32</v>
      </c>
      <c r="BQ11" s="12">
        <f t="shared" si="13"/>
        <v>164</v>
      </c>
      <c r="BR11" s="13">
        <f t="shared" si="14"/>
        <v>0</v>
      </c>
    </row>
    <row r="12" spans="1:70" s="14" customFormat="1" ht="21" customHeight="1">
      <c r="A12" s="7" t="s">
        <v>115</v>
      </c>
      <c r="B12" s="8">
        <v>30</v>
      </c>
      <c r="C12" s="9">
        <v>200</v>
      </c>
      <c r="D12" s="18">
        <v>0</v>
      </c>
      <c r="E12" s="11">
        <f t="shared" si="12"/>
        <v>230</v>
      </c>
      <c r="F12" s="186"/>
      <c r="G12" s="187"/>
      <c r="H12" s="187"/>
      <c r="I12" s="187"/>
      <c r="J12" s="187"/>
      <c r="K12" s="279"/>
      <c r="L12" s="187"/>
      <c r="M12" s="187">
        <v>8</v>
      </c>
      <c r="N12" s="187"/>
      <c r="O12" s="187"/>
      <c r="P12" s="36"/>
      <c r="Q12" s="35"/>
      <c r="R12" s="35"/>
      <c r="S12" s="35"/>
      <c r="T12" s="35"/>
      <c r="U12" s="37"/>
      <c r="V12" s="38"/>
      <c r="W12" s="35"/>
      <c r="X12" s="39"/>
      <c r="Y12" s="39">
        <v>16</v>
      </c>
      <c r="Z12" s="37"/>
      <c r="AA12" s="34"/>
      <c r="AB12" s="170">
        <v>32</v>
      </c>
      <c r="AC12" s="35"/>
      <c r="AD12" s="35"/>
      <c r="AE12" s="37"/>
      <c r="AF12" s="35"/>
      <c r="AG12" s="35"/>
      <c r="AH12" s="35"/>
      <c r="AI12" s="35">
        <v>8</v>
      </c>
      <c r="AJ12" s="40">
        <v>16</v>
      </c>
      <c r="AK12" s="35"/>
      <c r="AL12" s="35">
        <v>16</v>
      </c>
      <c r="AM12" s="35"/>
      <c r="AN12" s="35">
        <v>40</v>
      </c>
      <c r="AO12" s="40">
        <v>8</v>
      </c>
      <c r="AP12" s="36"/>
      <c r="AQ12" s="35"/>
      <c r="AR12" s="35">
        <v>8</v>
      </c>
      <c r="AS12" s="35">
        <v>8</v>
      </c>
      <c r="AT12" s="35"/>
      <c r="AU12" s="37">
        <v>8</v>
      </c>
      <c r="AV12" s="38">
        <v>32</v>
      </c>
      <c r="AW12" s="35"/>
      <c r="AX12" s="39"/>
      <c r="AY12" s="39"/>
      <c r="AZ12" s="37"/>
      <c r="BA12" s="38"/>
      <c r="BB12" s="35"/>
      <c r="BC12" s="39"/>
      <c r="BD12" s="39"/>
      <c r="BE12" s="37"/>
      <c r="BF12" s="36"/>
      <c r="BG12" s="35"/>
      <c r="BH12" s="35"/>
      <c r="BI12" s="35"/>
      <c r="BJ12" s="35"/>
      <c r="BK12" s="37"/>
      <c r="BL12" s="35"/>
      <c r="BM12" s="43"/>
      <c r="BN12" s="43"/>
      <c r="BO12" s="41"/>
      <c r="BP12" s="34">
        <v>32</v>
      </c>
      <c r="BQ12" s="12">
        <f t="shared" si="13"/>
        <v>232</v>
      </c>
      <c r="BR12" s="13">
        <f t="shared" si="14"/>
        <v>-2</v>
      </c>
    </row>
    <row r="13" spans="1:70" s="14" customFormat="1" ht="21" customHeight="1">
      <c r="A13" s="7" t="s">
        <v>116</v>
      </c>
      <c r="B13" s="8">
        <v>44</v>
      </c>
      <c r="C13" s="9">
        <v>200</v>
      </c>
      <c r="D13" s="10">
        <v>0</v>
      </c>
      <c r="E13" s="11">
        <f t="shared" si="12"/>
        <v>244</v>
      </c>
      <c r="F13" s="186"/>
      <c r="G13" s="187"/>
      <c r="H13" s="187"/>
      <c r="I13" s="187"/>
      <c r="J13" s="187"/>
      <c r="K13" s="279"/>
      <c r="L13" s="187"/>
      <c r="M13" s="187">
        <v>12</v>
      </c>
      <c r="N13" s="187"/>
      <c r="O13" s="187"/>
      <c r="P13" s="36"/>
      <c r="Q13" s="35"/>
      <c r="R13" s="35"/>
      <c r="S13" s="35"/>
      <c r="T13" s="35"/>
      <c r="U13" s="37"/>
      <c r="V13" s="38">
        <v>24</v>
      </c>
      <c r="W13" s="35"/>
      <c r="X13" s="39"/>
      <c r="Y13" s="39"/>
      <c r="Z13" s="37"/>
      <c r="AA13" s="48"/>
      <c r="AB13" s="49"/>
      <c r="AC13" s="49"/>
      <c r="AD13" s="49"/>
      <c r="AE13" s="50"/>
      <c r="AF13" s="49"/>
      <c r="AG13" s="49"/>
      <c r="AH13" s="49"/>
      <c r="AI13" s="49"/>
      <c r="AJ13" s="51"/>
      <c r="AK13" s="49"/>
      <c r="AL13" s="49"/>
      <c r="AM13" s="170">
        <v>40</v>
      </c>
      <c r="AN13" s="170">
        <v>40</v>
      </c>
      <c r="AO13" s="51"/>
      <c r="AP13" s="36"/>
      <c r="AQ13" s="35"/>
      <c r="AR13" s="35"/>
      <c r="AS13" s="35">
        <v>40</v>
      </c>
      <c r="AT13" s="35">
        <v>40</v>
      </c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>
        <v>16</v>
      </c>
      <c r="BF13" s="36"/>
      <c r="BG13" s="35"/>
      <c r="BH13" s="35"/>
      <c r="BI13" s="35">
        <v>8</v>
      </c>
      <c r="BJ13" s="35"/>
      <c r="BK13" s="37"/>
      <c r="BL13" s="49"/>
      <c r="BM13" s="49"/>
      <c r="BN13" s="49"/>
      <c r="BO13" s="52"/>
      <c r="BP13" s="218">
        <v>32</v>
      </c>
      <c r="BQ13" s="12">
        <f t="shared" si="13"/>
        <v>252</v>
      </c>
      <c r="BR13" s="13">
        <f t="shared" si="14"/>
        <v>-8</v>
      </c>
    </row>
    <row r="14" spans="1:70" s="14" customFormat="1" ht="21" customHeight="1" thickBot="1">
      <c r="A14" s="27" t="s">
        <v>117</v>
      </c>
      <c r="B14" s="84">
        <v>10</v>
      </c>
      <c r="C14" s="85">
        <v>50</v>
      </c>
      <c r="D14" s="86">
        <v>0</v>
      </c>
      <c r="E14" s="87">
        <f t="shared" si="12"/>
        <v>60</v>
      </c>
      <c r="F14" s="192"/>
      <c r="G14" s="193"/>
      <c r="H14" s="193"/>
      <c r="I14" s="193"/>
      <c r="J14" s="193"/>
      <c r="K14" s="280"/>
      <c r="L14" s="193"/>
      <c r="M14" s="193">
        <v>2</v>
      </c>
      <c r="N14" s="193"/>
      <c r="O14" s="193"/>
      <c r="P14" s="90"/>
      <c r="Q14" s="89"/>
      <c r="R14" s="89"/>
      <c r="S14" s="89"/>
      <c r="T14" s="89"/>
      <c r="U14" s="91"/>
      <c r="V14" s="92">
        <v>6</v>
      </c>
      <c r="W14" s="89"/>
      <c r="X14" s="93"/>
      <c r="Y14" s="93"/>
      <c r="Z14" s="91"/>
      <c r="AA14" s="88"/>
      <c r="AB14" s="89"/>
      <c r="AC14" s="89"/>
      <c r="AD14" s="89"/>
      <c r="AE14" s="91"/>
      <c r="AF14" s="89"/>
      <c r="AG14" s="89"/>
      <c r="AH14" s="89"/>
      <c r="AI14" s="89"/>
      <c r="AJ14" s="94"/>
      <c r="AK14" s="89"/>
      <c r="AL14" s="89"/>
      <c r="AM14" s="206">
        <v>10</v>
      </c>
      <c r="AN14" s="206">
        <v>10</v>
      </c>
      <c r="AO14" s="94"/>
      <c r="AP14" s="90"/>
      <c r="AQ14" s="89"/>
      <c r="AR14" s="89"/>
      <c r="AS14" s="89">
        <v>10</v>
      </c>
      <c r="AT14" s="89">
        <v>10</v>
      </c>
      <c r="AU14" s="91"/>
      <c r="AV14" s="92"/>
      <c r="AW14" s="89"/>
      <c r="AX14" s="93"/>
      <c r="AY14" s="93"/>
      <c r="AZ14" s="91"/>
      <c r="BA14" s="92"/>
      <c r="BB14" s="89"/>
      <c r="BC14" s="93"/>
      <c r="BD14" s="93"/>
      <c r="BE14" s="91">
        <v>4</v>
      </c>
      <c r="BF14" s="90"/>
      <c r="BG14" s="89"/>
      <c r="BH14" s="89"/>
      <c r="BI14" s="89">
        <v>2</v>
      </c>
      <c r="BJ14" s="89"/>
      <c r="BK14" s="91"/>
      <c r="BL14" s="89"/>
      <c r="BM14" s="89"/>
      <c r="BN14" s="89"/>
      <c r="BO14" s="96"/>
      <c r="BP14" s="231">
        <v>8</v>
      </c>
      <c r="BQ14" s="136">
        <f t="shared" si="13"/>
        <v>62</v>
      </c>
      <c r="BR14" s="13">
        <f t="shared" si="14"/>
        <v>-2</v>
      </c>
    </row>
    <row r="15" spans="1:70" s="14" customFormat="1" ht="21" customHeight="1">
      <c r="A15" s="26"/>
      <c r="B15" s="54"/>
      <c r="C15" s="55"/>
      <c r="D15" s="56"/>
      <c r="E15" s="57">
        <f t="shared" si="12"/>
        <v>0</v>
      </c>
      <c r="F15" s="58"/>
      <c r="G15" s="59"/>
      <c r="H15" s="59"/>
      <c r="I15" s="59"/>
      <c r="J15" s="59"/>
      <c r="K15" s="60"/>
      <c r="L15" s="59"/>
      <c r="M15" s="59"/>
      <c r="N15" s="59"/>
      <c r="O15" s="59"/>
      <c r="P15" s="60"/>
      <c r="Q15" s="59"/>
      <c r="R15" s="59"/>
      <c r="S15" s="59"/>
      <c r="T15" s="59"/>
      <c r="U15" s="61"/>
      <c r="V15" s="62"/>
      <c r="W15" s="59"/>
      <c r="X15" s="63"/>
      <c r="Y15" s="63"/>
      <c r="Z15" s="61"/>
      <c r="AA15" s="58"/>
      <c r="AB15" s="59"/>
      <c r="AC15" s="59"/>
      <c r="AD15" s="59"/>
      <c r="AE15" s="61"/>
      <c r="AF15" s="59"/>
      <c r="AG15" s="59"/>
      <c r="AH15" s="59"/>
      <c r="AI15" s="59"/>
      <c r="AJ15" s="64"/>
      <c r="AK15" s="59"/>
      <c r="AL15" s="59"/>
      <c r="AM15" s="59"/>
      <c r="AN15" s="59"/>
      <c r="AO15" s="64"/>
      <c r="AP15" s="60"/>
      <c r="AQ15" s="59"/>
      <c r="AR15" s="59"/>
      <c r="AS15" s="59"/>
      <c r="AT15" s="59"/>
      <c r="AU15" s="61"/>
      <c r="AV15" s="62"/>
      <c r="AW15" s="59"/>
      <c r="AX15" s="63"/>
      <c r="AY15" s="63"/>
      <c r="AZ15" s="61"/>
      <c r="BA15" s="62"/>
      <c r="BB15" s="59"/>
      <c r="BC15" s="63"/>
      <c r="BD15" s="63"/>
      <c r="BE15" s="61"/>
      <c r="BF15" s="60"/>
      <c r="BG15" s="59"/>
      <c r="BH15" s="59"/>
      <c r="BI15" s="59"/>
      <c r="BJ15" s="59"/>
      <c r="BK15" s="61"/>
      <c r="BL15" s="59"/>
      <c r="BM15" s="59"/>
      <c r="BN15" s="59"/>
      <c r="BO15" s="65"/>
      <c r="BP15" s="58"/>
      <c r="BQ15" s="66">
        <f t="shared" si="13"/>
        <v>0</v>
      </c>
      <c r="BR15" s="13">
        <f t="shared" si="14"/>
        <v>0</v>
      </c>
    </row>
    <row r="16" spans="1:70" s="17" customFormat="1" ht="21" customHeight="1">
      <c r="A16" s="7"/>
      <c r="B16" s="8"/>
      <c r="C16" s="19"/>
      <c r="D16" s="21"/>
      <c r="E16" s="11">
        <f t="shared" si="12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42"/>
      <c r="BQ16" s="12">
        <f t="shared" si="13"/>
        <v>0</v>
      </c>
      <c r="BR16" s="13">
        <f t="shared" si="14"/>
        <v>0</v>
      </c>
    </row>
    <row r="17" spans="1:70" s="17" customFormat="1" ht="21" customHeight="1">
      <c r="A17" s="25"/>
      <c r="B17" s="8"/>
      <c r="C17" s="9"/>
      <c r="D17" s="10"/>
      <c r="E17" s="11">
        <f t="shared" si="12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34"/>
      <c r="BQ17" s="12">
        <f t="shared" si="13"/>
        <v>0</v>
      </c>
      <c r="BR17" s="13">
        <f t="shared" si="14"/>
        <v>0</v>
      </c>
    </row>
    <row r="18" spans="1:70" s="4" customFormat="1" ht="21" customHeight="1">
      <c r="A18" s="25"/>
      <c r="B18" s="8"/>
      <c r="C18" s="9"/>
      <c r="D18" s="10"/>
      <c r="E18" s="11">
        <f t="shared" si="12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43"/>
      <c r="AG18" s="43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34"/>
      <c r="BQ18" s="12">
        <f t="shared" si="13"/>
        <v>0</v>
      </c>
      <c r="BR18" s="13">
        <f t="shared" si="14"/>
        <v>0</v>
      </c>
    </row>
    <row r="19" spans="1:70" s="14" customFormat="1" ht="21" customHeight="1">
      <c r="A19" s="7"/>
      <c r="B19" s="8"/>
      <c r="C19" s="9"/>
      <c r="D19" s="8"/>
      <c r="E19" s="11">
        <f t="shared" si="12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43"/>
      <c r="S19" s="43"/>
      <c r="T19" s="43"/>
      <c r="U19" s="44"/>
      <c r="V19" s="38"/>
      <c r="W19" s="35"/>
      <c r="X19" s="39"/>
      <c r="Y19" s="39"/>
      <c r="Z19" s="37"/>
      <c r="AA19" s="42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43"/>
      <c r="AS19" s="43"/>
      <c r="AT19" s="43"/>
      <c r="AU19" s="44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43"/>
      <c r="BI19" s="43"/>
      <c r="BJ19" s="43"/>
      <c r="BK19" s="44"/>
      <c r="BL19" s="35"/>
      <c r="BM19" s="35"/>
      <c r="BN19" s="35"/>
      <c r="BO19" s="46"/>
      <c r="BP19" s="42"/>
      <c r="BQ19" s="12">
        <f t="shared" si="13"/>
        <v>0</v>
      </c>
      <c r="BR19" s="13">
        <f t="shared" si="14"/>
        <v>0</v>
      </c>
    </row>
    <row r="20" spans="1:70" s="14" customFormat="1" ht="21" customHeight="1">
      <c r="A20" s="7"/>
      <c r="B20" s="8"/>
      <c r="C20" s="9"/>
      <c r="D20" s="10"/>
      <c r="E20" s="11">
        <f t="shared" si="12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35"/>
      <c r="AS20" s="35"/>
      <c r="AT20" s="35"/>
      <c r="AU20" s="37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35"/>
      <c r="BI20" s="35"/>
      <c r="BJ20" s="35"/>
      <c r="BK20" s="37"/>
      <c r="BL20" s="35"/>
      <c r="BM20" s="35"/>
      <c r="BN20" s="35"/>
      <c r="BO20" s="41"/>
      <c r="BP20" s="34"/>
      <c r="BQ20" s="12">
        <f t="shared" si="13"/>
        <v>0</v>
      </c>
      <c r="BR20" s="13">
        <f t="shared" si="14"/>
        <v>0</v>
      </c>
    </row>
    <row r="21" spans="1:70" s="4" customFormat="1" ht="21" customHeight="1">
      <c r="A21" s="7"/>
      <c r="B21" s="8"/>
      <c r="C21" s="9"/>
      <c r="D21" s="18"/>
      <c r="E21" s="11">
        <f t="shared" si="12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3"/>
        <v>0</v>
      </c>
      <c r="BR21" s="13">
        <f t="shared" si="14"/>
        <v>0</v>
      </c>
    </row>
    <row r="22" spans="1:70" ht="21" customHeight="1">
      <c r="A22" s="7"/>
      <c r="B22" s="8"/>
      <c r="C22" s="19"/>
      <c r="D22" s="20"/>
      <c r="E22" s="11">
        <f t="shared" si="12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3"/>
        <v>0</v>
      </c>
      <c r="BR22" s="13">
        <f t="shared" si="14"/>
        <v>0</v>
      </c>
    </row>
    <row r="23" spans="1:70" s="14" customFormat="1" ht="21" customHeight="1">
      <c r="A23" s="7"/>
      <c r="B23" s="8"/>
      <c r="C23" s="19"/>
      <c r="D23" s="21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</row>
    <row r="24" spans="1:70" s="4" customFormat="1" ht="21" customHeight="1">
      <c r="A24" s="7"/>
      <c r="B24" s="8"/>
      <c r="C24" s="19"/>
      <c r="D24" s="21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</row>
    <row r="25" spans="1:70" ht="21" customHeight="1">
      <c r="A25" s="7"/>
      <c r="B25" s="8"/>
      <c r="C25" s="19"/>
      <c r="D25" s="20"/>
      <c r="E25" s="11">
        <f t="shared" si="12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3"/>
        <v>0</v>
      </c>
      <c r="BR25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5">
    <cfRule type="cellIs" dxfId="11" priority="1" stopIfTrue="1" operator="lessThan">
      <formula>0</formula>
    </cfRule>
    <cfRule type="cellIs" dxfId="10" priority="2" stopIfTrue="1" operator="equal">
      <formula>0</formula>
    </cfRule>
    <cfRule type="cellIs" dxfId="9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84" firstPageNumber="0" fitToHeight="0" orientation="landscape" horizontalDpi="4294967294" verticalDpi="300" r:id="rId1"/>
  <headerFooter alignWithMargins="0">
    <oddFooter>&amp;LDatum:.................................&amp;Cvedoucí: .............................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3E3B-C583-4731-A596-0F2FC6D48655}">
  <dimension ref="A1:BT26"/>
  <sheetViews>
    <sheetView zoomScaleNormal="100" workbookViewId="0">
      <pane ySplit="7" topLeftCell="A8" activePane="bottomLeft" state="frozen"/>
      <selection pane="bottomLeft" activeCell="T13" sqref="T13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1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1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1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1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1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1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1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1" s="14" customFormat="1" ht="21" customHeight="1">
      <c r="A8" s="26" t="s">
        <v>71</v>
      </c>
      <c r="B8" s="54">
        <v>34</v>
      </c>
      <c r="C8" s="55">
        <v>150</v>
      </c>
      <c r="D8" s="56">
        <v>0</v>
      </c>
      <c r="E8" s="57">
        <f t="shared" ref="E8:E26" si="12">SUM(B8+C8+D8)</f>
        <v>184</v>
      </c>
      <c r="F8" s="190"/>
      <c r="G8" s="191"/>
      <c r="H8" s="191"/>
      <c r="I8" s="191"/>
      <c r="J8" s="191"/>
      <c r="K8" s="276"/>
      <c r="L8" s="191"/>
      <c r="M8" s="191"/>
      <c r="N8" s="191">
        <v>6</v>
      </c>
      <c r="O8" s="191"/>
      <c r="P8" s="60"/>
      <c r="Q8" s="59"/>
      <c r="R8" s="59"/>
      <c r="S8" s="59"/>
      <c r="T8" s="59"/>
      <c r="U8" s="61"/>
      <c r="V8" s="62"/>
      <c r="W8" s="59"/>
      <c r="X8" s="63"/>
      <c r="Y8" s="63"/>
      <c r="Z8" s="61"/>
      <c r="AA8" s="58"/>
      <c r="AB8" s="59"/>
      <c r="AC8" s="59"/>
      <c r="AD8" s="59"/>
      <c r="AE8" s="61"/>
      <c r="AF8" s="59"/>
      <c r="AG8" s="59">
        <v>22</v>
      </c>
      <c r="AH8" s="59"/>
      <c r="AI8" s="59"/>
      <c r="AJ8" s="64"/>
      <c r="AK8" s="59"/>
      <c r="AL8" s="59"/>
      <c r="AM8" s="59"/>
      <c r="AN8" s="59">
        <v>30</v>
      </c>
      <c r="AO8" s="64">
        <v>30</v>
      </c>
      <c r="AP8" s="60"/>
      <c r="AQ8" s="59"/>
      <c r="AR8" s="59"/>
      <c r="AS8" s="59">
        <v>30</v>
      </c>
      <c r="AT8" s="59"/>
      <c r="AU8" s="61"/>
      <c r="AV8" s="62"/>
      <c r="AW8" s="59"/>
      <c r="AX8" s="63"/>
      <c r="AY8" s="63"/>
      <c r="AZ8" s="61"/>
      <c r="BA8" s="62"/>
      <c r="BB8" s="59"/>
      <c r="BC8" s="63"/>
      <c r="BD8" s="63"/>
      <c r="BE8" s="61">
        <v>8</v>
      </c>
      <c r="BF8" s="60"/>
      <c r="BG8" s="59"/>
      <c r="BH8" s="59"/>
      <c r="BI8" s="59"/>
      <c r="BJ8" s="59"/>
      <c r="BK8" s="61"/>
      <c r="BL8" s="59"/>
      <c r="BM8" s="59"/>
      <c r="BN8" s="59"/>
      <c r="BO8" s="65">
        <v>24</v>
      </c>
      <c r="BP8" s="58">
        <v>30</v>
      </c>
      <c r="BQ8" s="66">
        <f t="shared" ref="BQ8:BQ26" si="13">SUM(F8:BP8)</f>
        <v>180</v>
      </c>
      <c r="BR8" s="67">
        <f t="shared" ref="BR8:BR26" si="14">E8-BQ8</f>
        <v>4</v>
      </c>
    </row>
    <row r="9" spans="1:71" s="15" customFormat="1" ht="21" customHeight="1">
      <c r="A9" s="7" t="s">
        <v>139</v>
      </c>
      <c r="B9" s="8">
        <v>0</v>
      </c>
      <c r="C9" s="9">
        <v>197</v>
      </c>
      <c r="D9" s="10">
        <v>0</v>
      </c>
      <c r="E9" s="11">
        <f t="shared" si="12"/>
        <v>197</v>
      </c>
      <c r="F9" s="157"/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35">
        <v>16</v>
      </c>
      <c r="AC9" s="35"/>
      <c r="AD9" s="43"/>
      <c r="AE9" s="44"/>
      <c r="AF9" s="43"/>
      <c r="AG9" s="43"/>
      <c r="AH9" s="43"/>
      <c r="AI9" s="43"/>
      <c r="AJ9" s="45"/>
      <c r="AK9" s="43"/>
      <c r="AL9" s="43"/>
      <c r="AM9" s="43"/>
      <c r="AN9" s="43"/>
      <c r="AO9" s="45"/>
      <c r="AP9" s="36"/>
      <c r="AQ9" s="35"/>
      <c r="AR9" s="35"/>
      <c r="AS9" s="35"/>
      <c r="AT9" s="35"/>
      <c r="AU9" s="37"/>
      <c r="AV9" s="38"/>
      <c r="AW9" s="35"/>
      <c r="AX9" s="39"/>
      <c r="AY9" s="39"/>
      <c r="AZ9" s="37"/>
      <c r="BA9" s="38"/>
      <c r="BB9" s="35"/>
      <c r="BC9" s="39"/>
      <c r="BD9" s="39"/>
      <c r="BE9" s="37"/>
      <c r="BF9" s="36"/>
      <c r="BG9" s="35"/>
      <c r="BH9" s="35"/>
      <c r="BI9" s="35"/>
      <c r="BJ9" s="35"/>
      <c r="BK9" s="37"/>
      <c r="BL9" s="43"/>
      <c r="BM9" s="43"/>
      <c r="BN9" s="43"/>
      <c r="BO9" s="46"/>
      <c r="BP9" s="42"/>
      <c r="BQ9" s="12">
        <f t="shared" si="13"/>
        <v>16</v>
      </c>
      <c r="BR9" s="13">
        <f t="shared" si="14"/>
        <v>181</v>
      </c>
    </row>
    <row r="10" spans="1:71" s="14" customFormat="1" ht="21" customHeight="1">
      <c r="A10" s="7"/>
      <c r="B10" s="8"/>
      <c r="C10" s="9"/>
      <c r="D10" s="10"/>
      <c r="E10" s="11">
        <f t="shared" si="12"/>
        <v>0</v>
      </c>
      <c r="F10" s="34"/>
      <c r="G10" s="35"/>
      <c r="H10" s="35"/>
      <c r="I10" s="35"/>
      <c r="J10" s="35"/>
      <c r="K10" s="36"/>
      <c r="L10" s="35"/>
      <c r="M10" s="35"/>
      <c r="N10" s="35"/>
      <c r="O10" s="35"/>
      <c r="P10" s="36"/>
      <c r="Q10" s="35"/>
      <c r="R10" s="35"/>
      <c r="S10" s="35"/>
      <c r="T10" s="35"/>
      <c r="U10" s="37"/>
      <c r="V10" s="38"/>
      <c r="W10" s="35"/>
      <c r="X10" s="39"/>
      <c r="Y10" s="39"/>
      <c r="Z10" s="37"/>
      <c r="AA10" s="42"/>
      <c r="AB10" s="43"/>
      <c r="AC10" s="35"/>
      <c r="AD10" s="43"/>
      <c r="AE10" s="44"/>
      <c r="AF10" s="43"/>
      <c r="AG10" s="43"/>
      <c r="AH10" s="43"/>
      <c r="AI10" s="43"/>
      <c r="AJ10" s="47"/>
      <c r="AK10" s="43"/>
      <c r="AL10" s="43"/>
      <c r="AM10" s="43"/>
      <c r="AN10" s="43"/>
      <c r="AO10" s="45"/>
      <c r="AP10" s="36"/>
      <c r="AQ10" s="35"/>
      <c r="AR10" s="35"/>
      <c r="AS10" s="35"/>
      <c r="AT10" s="35"/>
      <c r="AU10" s="37"/>
      <c r="AV10" s="38"/>
      <c r="AW10" s="35"/>
      <c r="AX10" s="39"/>
      <c r="AY10" s="39"/>
      <c r="AZ10" s="37"/>
      <c r="BA10" s="38"/>
      <c r="BB10" s="35"/>
      <c r="BC10" s="39"/>
      <c r="BD10" s="39"/>
      <c r="BE10" s="37"/>
      <c r="BF10" s="36"/>
      <c r="BG10" s="35"/>
      <c r="BH10" s="35"/>
      <c r="BI10" s="35"/>
      <c r="BJ10" s="35"/>
      <c r="BK10" s="37"/>
      <c r="BL10" s="43"/>
      <c r="BM10" s="43"/>
      <c r="BN10" s="43"/>
      <c r="BO10" s="46"/>
      <c r="BP10" s="42"/>
      <c r="BQ10" s="12">
        <f t="shared" si="13"/>
        <v>0</v>
      </c>
      <c r="BR10" s="13">
        <f t="shared" si="14"/>
        <v>0</v>
      </c>
    </row>
    <row r="11" spans="1:71" s="14" customFormat="1" ht="21" customHeight="1">
      <c r="A11" s="7"/>
      <c r="B11" s="8"/>
      <c r="C11" s="19"/>
      <c r="D11" s="21"/>
      <c r="E11" s="11">
        <f t="shared" si="12"/>
        <v>0</v>
      </c>
      <c r="F11" s="34"/>
      <c r="G11" s="35"/>
      <c r="H11" s="35"/>
      <c r="I11" s="35"/>
      <c r="J11" s="35"/>
      <c r="K11" s="36"/>
      <c r="L11" s="35"/>
      <c r="M11" s="35"/>
      <c r="N11" s="35"/>
      <c r="O11" s="35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/>
      <c r="AB11" s="43"/>
      <c r="AC11" s="35"/>
      <c r="AD11" s="35"/>
      <c r="AE11" s="37"/>
      <c r="AF11" s="35"/>
      <c r="AG11" s="35"/>
      <c r="AH11" s="35"/>
      <c r="AI11" s="35"/>
      <c r="AJ11" s="40"/>
      <c r="AK11" s="35"/>
      <c r="AL11" s="35"/>
      <c r="AM11" s="35"/>
      <c r="AN11" s="35"/>
      <c r="AO11" s="40"/>
      <c r="AP11" s="36"/>
      <c r="AQ11" s="35"/>
      <c r="AR11" s="35"/>
      <c r="AS11" s="35"/>
      <c r="AT11" s="35"/>
      <c r="AU11" s="37"/>
      <c r="AV11" s="38"/>
      <c r="AW11" s="35"/>
      <c r="AX11" s="39"/>
      <c r="AY11" s="39"/>
      <c r="AZ11" s="37"/>
      <c r="BA11" s="38"/>
      <c r="BB11" s="35"/>
      <c r="BC11" s="39"/>
      <c r="BD11" s="39"/>
      <c r="BE11" s="37"/>
      <c r="BF11" s="36"/>
      <c r="BG11" s="35"/>
      <c r="BH11" s="35"/>
      <c r="BI11" s="35"/>
      <c r="BJ11" s="35"/>
      <c r="BK11" s="37"/>
      <c r="BL11" s="35"/>
      <c r="BM11" s="35"/>
      <c r="BN11" s="35"/>
      <c r="BO11" s="41"/>
      <c r="BP11" s="34"/>
      <c r="BQ11" s="12">
        <f t="shared" si="13"/>
        <v>0</v>
      </c>
      <c r="BR11" s="13">
        <f t="shared" si="14"/>
        <v>0</v>
      </c>
      <c r="BS11" s="16"/>
    </row>
    <row r="12" spans="1:71" s="4" customFormat="1" ht="21" customHeight="1">
      <c r="A12" s="7"/>
      <c r="B12" s="8"/>
      <c r="C12" s="9"/>
      <c r="D12" s="10"/>
      <c r="E12" s="11">
        <f t="shared" si="12"/>
        <v>0</v>
      </c>
      <c r="F12" s="34"/>
      <c r="G12" s="35"/>
      <c r="H12" s="35"/>
      <c r="I12" s="35"/>
      <c r="J12" s="35"/>
      <c r="K12" s="36"/>
      <c r="L12" s="35"/>
      <c r="M12" s="35"/>
      <c r="N12" s="35"/>
      <c r="O12" s="35"/>
      <c r="P12" s="36"/>
      <c r="Q12" s="35"/>
      <c r="R12" s="35"/>
      <c r="S12" s="35"/>
      <c r="T12" s="35"/>
      <c r="U12" s="37"/>
      <c r="V12" s="38"/>
      <c r="W12" s="35"/>
      <c r="X12" s="39"/>
      <c r="Y12" s="39"/>
      <c r="Z12" s="37"/>
      <c r="AA12" s="34"/>
      <c r="AB12" s="35"/>
      <c r="AC12" s="35"/>
      <c r="AD12" s="43"/>
      <c r="AE12" s="44"/>
      <c r="AF12" s="43"/>
      <c r="AG12" s="43"/>
      <c r="AH12" s="43"/>
      <c r="AI12" s="43"/>
      <c r="AJ12" s="45"/>
      <c r="AK12" s="43"/>
      <c r="AL12" s="43"/>
      <c r="AM12" s="43"/>
      <c r="AN12" s="43"/>
      <c r="AO12" s="45"/>
      <c r="AP12" s="36"/>
      <c r="AQ12" s="35"/>
      <c r="AR12" s="35"/>
      <c r="AS12" s="35"/>
      <c r="AT12" s="35"/>
      <c r="AU12" s="37"/>
      <c r="AV12" s="38"/>
      <c r="AW12" s="35"/>
      <c r="AX12" s="39"/>
      <c r="AY12" s="39"/>
      <c r="AZ12" s="37"/>
      <c r="BA12" s="38"/>
      <c r="BB12" s="35"/>
      <c r="BC12" s="39"/>
      <c r="BD12" s="39"/>
      <c r="BE12" s="37"/>
      <c r="BF12" s="36"/>
      <c r="BG12" s="35"/>
      <c r="BH12" s="35"/>
      <c r="BI12" s="35"/>
      <c r="BJ12" s="35"/>
      <c r="BK12" s="37"/>
      <c r="BL12" s="43"/>
      <c r="BM12" s="43"/>
      <c r="BN12" s="43"/>
      <c r="BO12" s="46"/>
      <c r="BP12" s="42"/>
      <c r="BQ12" s="12">
        <f t="shared" si="13"/>
        <v>0</v>
      </c>
      <c r="BR12" s="13">
        <f t="shared" si="14"/>
        <v>0</v>
      </c>
    </row>
    <row r="13" spans="1:71" s="14" customFormat="1" ht="21" customHeight="1">
      <c r="A13" s="7"/>
      <c r="B13" s="8"/>
      <c r="C13" s="9"/>
      <c r="D13" s="18"/>
      <c r="E13" s="11">
        <f t="shared" si="12"/>
        <v>0</v>
      </c>
      <c r="F13" s="34"/>
      <c r="G13" s="35"/>
      <c r="H13" s="35"/>
      <c r="I13" s="35"/>
      <c r="J13" s="35"/>
      <c r="K13" s="36"/>
      <c r="L13" s="35"/>
      <c r="M13" s="35"/>
      <c r="N13" s="35"/>
      <c r="O13" s="35"/>
      <c r="P13" s="36"/>
      <c r="Q13" s="35"/>
      <c r="R13" s="35"/>
      <c r="S13" s="35"/>
      <c r="T13" s="35"/>
      <c r="U13" s="37"/>
      <c r="V13" s="38"/>
      <c r="W13" s="35"/>
      <c r="X13" s="39"/>
      <c r="Y13" s="39"/>
      <c r="Z13" s="37"/>
      <c r="AA13" s="34"/>
      <c r="AB13" s="35"/>
      <c r="AC13" s="35"/>
      <c r="AD13" s="35"/>
      <c r="AE13" s="37"/>
      <c r="AF13" s="35"/>
      <c r="AG13" s="35"/>
      <c r="AH13" s="35"/>
      <c r="AI13" s="35"/>
      <c r="AJ13" s="40"/>
      <c r="AK13" s="35"/>
      <c r="AL13" s="35"/>
      <c r="AM13" s="35"/>
      <c r="AN13" s="35"/>
      <c r="AO13" s="40"/>
      <c r="AP13" s="36"/>
      <c r="AQ13" s="35"/>
      <c r="AR13" s="35"/>
      <c r="AS13" s="35"/>
      <c r="AT13" s="35"/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/>
      <c r="BF13" s="36"/>
      <c r="BG13" s="35"/>
      <c r="BH13" s="35"/>
      <c r="BI13" s="35"/>
      <c r="BJ13" s="35"/>
      <c r="BK13" s="37"/>
      <c r="BL13" s="35"/>
      <c r="BM13" s="43"/>
      <c r="BN13" s="43"/>
      <c r="BO13" s="41"/>
      <c r="BP13" s="34"/>
      <c r="BQ13" s="12">
        <f t="shared" si="13"/>
        <v>0</v>
      </c>
      <c r="BR13" s="13">
        <f t="shared" si="14"/>
        <v>0</v>
      </c>
    </row>
    <row r="14" spans="1:71" s="14" customFormat="1" ht="21" customHeight="1">
      <c r="A14" s="25"/>
      <c r="B14" s="8"/>
      <c r="C14" s="9"/>
      <c r="D14" s="10"/>
      <c r="E14" s="11">
        <f t="shared" si="12"/>
        <v>0</v>
      </c>
      <c r="F14" s="34"/>
      <c r="G14" s="35"/>
      <c r="H14" s="35"/>
      <c r="I14" s="35"/>
      <c r="J14" s="35"/>
      <c r="K14" s="36"/>
      <c r="L14" s="35"/>
      <c r="M14" s="35"/>
      <c r="N14" s="35"/>
      <c r="O14" s="35"/>
      <c r="P14" s="36"/>
      <c r="Q14" s="35"/>
      <c r="R14" s="35"/>
      <c r="S14" s="35"/>
      <c r="T14" s="35"/>
      <c r="U14" s="37"/>
      <c r="V14" s="38"/>
      <c r="W14" s="35"/>
      <c r="X14" s="39"/>
      <c r="Y14" s="39"/>
      <c r="Z14" s="37"/>
      <c r="AA14" s="48"/>
      <c r="AB14" s="49"/>
      <c r="AC14" s="49"/>
      <c r="AD14" s="49"/>
      <c r="AE14" s="50"/>
      <c r="AF14" s="49"/>
      <c r="AG14" s="49"/>
      <c r="AH14" s="49"/>
      <c r="AI14" s="49"/>
      <c r="AJ14" s="51"/>
      <c r="AK14" s="49"/>
      <c r="AL14" s="49"/>
      <c r="AM14" s="49"/>
      <c r="AN14" s="49"/>
      <c r="AO14" s="51"/>
      <c r="AP14" s="36"/>
      <c r="AQ14" s="35"/>
      <c r="AR14" s="35"/>
      <c r="AS14" s="35"/>
      <c r="AT14" s="35"/>
      <c r="AU14" s="37"/>
      <c r="AV14" s="38"/>
      <c r="AW14" s="35"/>
      <c r="AX14" s="39"/>
      <c r="AY14" s="39"/>
      <c r="AZ14" s="37"/>
      <c r="BA14" s="38"/>
      <c r="BB14" s="35"/>
      <c r="BC14" s="39"/>
      <c r="BD14" s="39"/>
      <c r="BE14" s="37"/>
      <c r="BF14" s="36"/>
      <c r="BG14" s="35"/>
      <c r="BH14" s="35"/>
      <c r="BI14" s="35"/>
      <c r="BJ14" s="35"/>
      <c r="BK14" s="37"/>
      <c r="BL14" s="49"/>
      <c r="BM14" s="49"/>
      <c r="BN14" s="49"/>
      <c r="BO14" s="52"/>
      <c r="BP14" s="48"/>
      <c r="BQ14" s="12">
        <f t="shared" si="13"/>
        <v>0</v>
      </c>
      <c r="BR14" s="13">
        <f t="shared" si="14"/>
        <v>0</v>
      </c>
    </row>
    <row r="15" spans="1:71" s="14" customFormat="1" ht="21" customHeight="1">
      <c r="A15" s="7"/>
      <c r="B15" s="8"/>
      <c r="C15" s="9"/>
      <c r="D15" s="10"/>
      <c r="E15" s="11">
        <f t="shared" si="12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37"/>
      <c r="AF15" s="35"/>
      <c r="AG15" s="35"/>
      <c r="AH15" s="35"/>
      <c r="AI15" s="35"/>
      <c r="AJ15" s="40"/>
      <c r="AK15" s="35"/>
      <c r="AL15" s="35"/>
      <c r="AM15" s="35"/>
      <c r="AN15" s="35"/>
      <c r="AO15" s="40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/>
      <c r="BP15" s="34"/>
      <c r="BQ15" s="12">
        <f t="shared" si="13"/>
        <v>0</v>
      </c>
      <c r="BR15" s="13">
        <f t="shared" si="14"/>
        <v>0</v>
      </c>
    </row>
    <row r="16" spans="1:71" s="14" customFormat="1" ht="21" customHeight="1">
      <c r="A16" s="7"/>
      <c r="B16" s="8"/>
      <c r="C16" s="9"/>
      <c r="D16" s="10"/>
      <c r="E16" s="11">
        <f t="shared" si="12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34"/>
      <c r="BQ16" s="12">
        <f t="shared" si="13"/>
        <v>0</v>
      </c>
      <c r="BR16" s="13">
        <f t="shared" si="14"/>
        <v>0</v>
      </c>
    </row>
    <row r="17" spans="1:72" s="17" customFormat="1" ht="21" customHeight="1">
      <c r="A17" s="7"/>
      <c r="B17" s="8"/>
      <c r="C17" s="19"/>
      <c r="D17" s="21"/>
      <c r="E17" s="11">
        <f t="shared" si="12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42"/>
      <c r="BQ17" s="12">
        <f t="shared" si="13"/>
        <v>0</v>
      </c>
      <c r="BR17" s="13">
        <f t="shared" si="14"/>
        <v>0</v>
      </c>
    </row>
    <row r="18" spans="1:72" s="17" customFormat="1" ht="21" customHeight="1">
      <c r="A18" s="25"/>
      <c r="B18" s="8"/>
      <c r="C18" s="9"/>
      <c r="D18" s="10"/>
      <c r="E18" s="11">
        <f t="shared" si="12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34"/>
      <c r="BQ18" s="12">
        <f t="shared" si="13"/>
        <v>0</v>
      </c>
      <c r="BR18" s="13">
        <f t="shared" si="14"/>
        <v>0</v>
      </c>
    </row>
    <row r="19" spans="1:72" s="4" customFormat="1" ht="21" customHeight="1">
      <c r="A19" s="25"/>
      <c r="B19" s="8"/>
      <c r="C19" s="9"/>
      <c r="D19" s="10"/>
      <c r="E19" s="11">
        <f t="shared" si="12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34"/>
      <c r="AB19" s="35"/>
      <c r="AC19" s="35"/>
      <c r="AD19" s="35"/>
      <c r="AE19" s="37"/>
      <c r="AF19" s="43"/>
      <c r="AG19" s="43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35"/>
      <c r="AS19" s="35"/>
      <c r="AT19" s="35"/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35"/>
      <c r="BM19" s="35"/>
      <c r="BN19" s="35"/>
      <c r="BO19" s="41"/>
      <c r="BP19" s="34"/>
      <c r="BQ19" s="12">
        <f t="shared" si="13"/>
        <v>0</v>
      </c>
      <c r="BR19" s="13">
        <f t="shared" si="14"/>
        <v>0</v>
      </c>
    </row>
    <row r="20" spans="1:72" s="14" customFormat="1" ht="21" customHeight="1">
      <c r="A20" s="7"/>
      <c r="B20" s="8"/>
      <c r="C20" s="9"/>
      <c r="D20" s="8"/>
      <c r="E20" s="11">
        <f t="shared" si="12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43"/>
      <c r="S20" s="43"/>
      <c r="T20" s="43"/>
      <c r="U20" s="44"/>
      <c r="V20" s="38"/>
      <c r="W20" s="35"/>
      <c r="X20" s="39"/>
      <c r="Y20" s="39"/>
      <c r="Z20" s="37"/>
      <c r="AA20" s="42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43"/>
      <c r="AS20" s="43"/>
      <c r="AT20" s="43"/>
      <c r="AU20" s="44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43"/>
      <c r="BI20" s="43"/>
      <c r="BJ20" s="43"/>
      <c r="BK20" s="44"/>
      <c r="BL20" s="35"/>
      <c r="BM20" s="35"/>
      <c r="BN20" s="35"/>
      <c r="BO20" s="46"/>
      <c r="BP20" s="42"/>
      <c r="BQ20" s="12">
        <f t="shared" si="13"/>
        <v>0</v>
      </c>
      <c r="BR20" s="13">
        <f t="shared" si="14"/>
        <v>0</v>
      </c>
    </row>
    <row r="21" spans="1:72" s="14" customFormat="1" ht="21" customHeight="1">
      <c r="A21" s="7"/>
      <c r="B21" s="8"/>
      <c r="C21" s="9"/>
      <c r="D21" s="10"/>
      <c r="E21" s="11">
        <f t="shared" si="12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3"/>
        <v>0</v>
      </c>
      <c r="BR21" s="13">
        <f t="shared" si="14"/>
        <v>0</v>
      </c>
      <c r="BT21" s="14" t="s">
        <v>72</v>
      </c>
    </row>
    <row r="22" spans="1:72" s="4" customFormat="1" ht="21" customHeight="1">
      <c r="A22" s="7"/>
      <c r="B22" s="8"/>
      <c r="C22" s="9"/>
      <c r="D22" s="18"/>
      <c r="E22" s="11">
        <f t="shared" si="12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3"/>
        <v>0</v>
      </c>
      <c r="BR22" s="13">
        <f t="shared" si="14"/>
        <v>0</v>
      </c>
    </row>
    <row r="23" spans="1:72" ht="21" customHeight="1">
      <c r="A23" s="7"/>
      <c r="B23" s="8"/>
      <c r="C23" s="19"/>
      <c r="D23" s="20"/>
      <c r="E23" s="11">
        <f t="shared" si="12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3"/>
        <v>0</v>
      </c>
      <c r="BR23" s="13">
        <f t="shared" si="14"/>
        <v>0</v>
      </c>
    </row>
    <row r="24" spans="1:72" s="14" customFormat="1" ht="21" customHeight="1">
      <c r="A24" s="7"/>
      <c r="B24" s="8"/>
      <c r="C24" s="19"/>
      <c r="D24" s="21"/>
      <c r="E24" s="11">
        <f t="shared" si="12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3"/>
        <v>0</v>
      </c>
      <c r="BR24" s="13">
        <f t="shared" si="14"/>
        <v>0</v>
      </c>
      <c r="BT24" s="14" t="s">
        <v>72</v>
      </c>
    </row>
    <row r="25" spans="1:72" s="4" customFormat="1" ht="21" customHeight="1">
      <c r="A25" s="7"/>
      <c r="B25" s="8"/>
      <c r="C25" s="19"/>
      <c r="D25" s="21"/>
      <c r="E25" s="11">
        <f t="shared" si="12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3"/>
        <v>0</v>
      </c>
      <c r="BR25" s="13">
        <f t="shared" si="14"/>
        <v>0</v>
      </c>
    </row>
    <row r="26" spans="1:72" ht="21" customHeight="1">
      <c r="A26" s="7"/>
      <c r="B26" s="8"/>
      <c r="C26" s="19"/>
      <c r="D26" s="20"/>
      <c r="E26" s="11">
        <f t="shared" si="12"/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34"/>
      <c r="BQ26" s="12">
        <f t="shared" si="13"/>
        <v>0</v>
      </c>
      <c r="BR26" s="13">
        <f t="shared" si="14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6">
    <cfRule type="cellIs" dxfId="8" priority="1" stopIfTrue="1" operator="lessThan">
      <formula>0</formula>
    </cfRule>
    <cfRule type="cellIs" dxfId="7" priority="2" stopIfTrue="1" operator="equal">
      <formula>0</formula>
    </cfRule>
    <cfRule type="cellIs" dxfId="6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99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590C-A615-4A88-97C7-B19071B5A244}">
  <dimension ref="A1:BT25"/>
  <sheetViews>
    <sheetView zoomScaleNormal="100" workbookViewId="0">
      <pane ySplit="7" topLeftCell="A8" activePane="bottomLeft" state="frozen"/>
      <selection pane="bottomLeft" activeCell="N13" sqref="N13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83203125" style="24" bestFit="1" customWidth="1"/>
    <col min="70" max="70" width="3.83203125" style="24" customWidth="1"/>
    <col min="71" max="16384" width="11.5" style="22"/>
  </cols>
  <sheetData>
    <row r="1" spans="1:71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1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1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1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1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1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46272</v>
      </c>
      <c r="AX6" s="71">
        <f t="shared" si="9"/>
        <v>46279</v>
      </c>
      <c r="AY6" s="71">
        <f t="shared" si="9"/>
        <v>46286</v>
      </c>
      <c r="AZ6" s="337">
        <f t="shared" si="9"/>
        <v>46293</v>
      </c>
      <c r="BA6" s="336"/>
      <c r="BB6" s="5">
        <f>AZ6+7</f>
        <v>46300</v>
      </c>
      <c r="BC6" s="5">
        <f t="shared" ref="BC6:BE6" si="10">BB6+7</f>
        <v>46307</v>
      </c>
      <c r="BD6" s="5">
        <f t="shared" si="10"/>
        <v>46314</v>
      </c>
      <c r="BE6" s="336">
        <f t="shared" si="10"/>
        <v>46321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1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1" s="14" customFormat="1" ht="21" customHeight="1">
      <c r="A8" s="7" t="s">
        <v>151</v>
      </c>
      <c r="B8" s="8">
        <v>3</v>
      </c>
      <c r="C8" s="9">
        <v>200</v>
      </c>
      <c r="D8" s="18">
        <v>0</v>
      </c>
      <c r="E8" s="11">
        <f t="shared" ref="E8" si="12">SUM(B8+C8+D8)</f>
        <v>203</v>
      </c>
      <c r="F8" s="186">
        <v>8</v>
      </c>
      <c r="G8" s="187"/>
      <c r="H8" s="187"/>
      <c r="I8" s="187"/>
      <c r="J8" s="187"/>
      <c r="K8" s="279"/>
      <c r="L8" s="187"/>
      <c r="M8" s="187"/>
      <c r="N8" s="187"/>
      <c r="O8" s="187"/>
      <c r="P8" s="36"/>
      <c r="Q8" s="35">
        <v>8</v>
      </c>
      <c r="R8" s="35"/>
      <c r="S8" s="35"/>
      <c r="T8" s="35"/>
      <c r="U8" s="37">
        <v>8</v>
      </c>
      <c r="V8" s="38">
        <v>16</v>
      </c>
      <c r="W8" s="35"/>
      <c r="X8" s="39"/>
      <c r="Y8" s="39"/>
      <c r="Z8" s="37"/>
      <c r="AA8" s="34"/>
      <c r="AB8" s="35">
        <v>24</v>
      </c>
      <c r="AC8" s="35"/>
      <c r="AD8" s="35"/>
      <c r="AE8" s="37"/>
      <c r="AF8" s="35"/>
      <c r="AG8" s="35"/>
      <c r="AH8" s="35"/>
      <c r="AI8" s="35"/>
      <c r="AJ8" s="40"/>
      <c r="AK8" s="35"/>
      <c r="AL8" s="35">
        <v>40</v>
      </c>
      <c r="AM8" s="35"/>
      <c r="AN8" s="35"/>
      <c r="AO8" s="40"/>
      <c r="AP8" s="36"/>
      <c r="AQ8" s="35"/>
      <c r="AR8" s="35"/>
      <c r="AS8" s="35"/>
      <c r="AT8" s="35"/>
      <c r="AU8" s="37"/>
      <c r="AV8" s="38"/>
      <c r="AW8" s="35"/>
      <c r="AX8" s="39"/>
      <c r="AY8" s="39"/>
      <c r="AZ8" s="37">
        <v>16</v>
      </c>
      <c r="BA8" s="38">
        <v>16</v>
      </c>
      <c r="BB8" s="35"/>
      <c r="BC8" s="39"/>
      <c r="BD8" s="39"/>
      <c r="BE8" s="37">
        <v>32</v>
      </c>
      <c r="BF8" s="36"/>
      <c r="BG8" s="35"/>
      <c r="BH8" s="35"/>
      <c r="BI8" s="35"/>
      <c r="BJ8" s="35"/>
      <c r="BK8" s="37"/>
      <c r="BL8" s="35"/>
      <c r="BM8" s="43"/>
      <c r="BN8" s="43"/>
      <c r="BO8" s="41">
        <v>32</v>
      </c>
      <c r="BP8" s="34"/>
      <c r="BQ8" s="12">
        <f t="shared" ref="BQ8" si="13">SUM(F8:BP8)</f>
        <v>200</v>
      </c>
      <c r="BR8" s="13">
        <f t="shared" ref="BR8" si="14">E8-BQ8</f>
        <v>3</v>
      </c>
    </row>
    <row r="9" spans="1:71" s="15" customFormat="1" ht="21" customHeight="1">
      <c r="A9" s="7" t="s">
        <v>118</v>
      </c>
      <c r="B9" s="8">
        <v>0</v>
      </c>
      <c r="C9" s="9">
        <v>200</v>
      </c>
      <c r="D9" s="10">
        <v>0</v>
      </c>
      <c r="E9" s="11">
        <f t="shared" ref="E9:E25" si="15">SUM(B9+C9+D9)</f>
        <v>200</v>
      </c>
      <c r="F9" s="186">
        <v>16</v>
      </c>
      <c r="G9" s="187"/>
      <c r="H9" s="187"/>
      <c r="I9" s="187"/>
      <c r="J9" s="187"/>
      <c r="K9" s="279"/>
      <c r="L9" s="187">
        <v>8</v>
      </c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/>
      <c r="AB9" s="35"/>
      <c r="AC9" s="35"/>
      <c r="AD9" s="43"/>
      <c r="AE9" s="44"/>
      <c r="AF9" s="43"/>
      <c r="AG9" s="43"/>
      <c r="AH9" s="43"/>
      <c r="AI9" s="43"/>
      <c r="AJ9" s="45"/>
      <c r="AK9" s="43"/>
      <c r="AL9" s="168">
        <v>32</v>
      </c>
      <c r="AM9" s="43"/>
      <c r="AN9" s="43"/>
      <c r="AO9" s="45"/>
      <c r="AP9" s="36"/>
      <c r="AQ9" s="35"/>
      <c r="AR9" s="35"/>
      <c r="AS9" s="35"/>
      <c r="AT9" s="170">
        <v>40</v>
      </c>
      <c r="AU9" s="37"/>
      <c r="AV9" s="38"/>
      <c r="AW9" s="35"/>
      <c r="AX9" s="39"/>
      <c r="AY9" s="39"/>
      <c r="AZ9" s="198">
        <v>16</v>
      </c>
      <c r="BA9" s="209">
        <v>16</v>
      </c>
      <c r="BB9" s="35"/>
      <c r="BC9" s="39"/>
      <c r="BD9" s="39"/>
      <c r="BE9" s="204">
        <v>32</v>
      </c>
      <c r="BF9" s="36"/>
      <c r="BG9" s="35"/>
      <c r="BH9" s="35"/>
      <c r="BI9" s="168">
        <v>8</v>
      </c>
      <c r="BJ9" s="35"/>
      <c r="BK9" s="37"/>
      <c r="BL9" s="43"/>
      <c r="BM9" s="43"/>
      <c r="BN9" s="168">
        <v>16</v>
      </c>
      <c r="BO9" s="207">
        <v>24</v>
      </c>
      <c r="BP9" s="42"/>
      <c r="BQ9" s="12">
        <f t="shared" ref="BQ9:BQ25" si="16">SUM(F9:BP9)</f>
        <v>208</v>
      </c>
      <c r="BR9" s="13">
        <f t="shared" ref="BR9:BR25" si="17">E9-BQ9</f>
        <v>-8</v>
      </c>
    </row>
    <row r="10" spans="1:71" s="14" customFormat="1" ht="21" customHeight="1">
      <c r="A10" s="7" t="s">
        <v>119</v>
      </c>
      <c r="B10" s="8">
        <v>22</v>
      </c>
      <c r="C10" s="9">
        <v>200</v>
      </c>
      <c r="D10" s="10">
        <v>0</v>
      </c>
      <c r="E10" s="11">
        <f t="shared" si="15"/>
        <v>222</v>
      </c>
      <c r="F10" s="186"/>
      <c r="G10" s="187"/>
      <c r="H10" s="187"/>
      <c r="I10" s="187"/>
      <c r="J10" s="187"/>
      <c r="K10" s="279">
        <v>40</v>
      </c>
      <c r="L10" s="187"/>
      <c r="M10" s="187"/>
      <c r="N10" s="187"/>
      <c r="O10" s="187"/>
      <c r="P10" s="36"/>
      <c r="Q10" s="35"/>
      <c r="R10" s="35"/>
      <c r="S10" s="35"/>
      <c r="T10" s="35"/>
      <c r="U10" s="37"/>
      <c r="V10" s="38"/>
      <c r="W10" s="35"/>
      <c r="X10" s="39"/>
      <c r="Y10" s="39"/>
      <c r="Z10" s="37"/>
      <c r="AA10" s="42"/>
      <c r="AB10" s="43"/>
      <c r="AC10" s="35"/>
      <c r="AD10" s="43"/>
      <c r="AE10" s="44"/>
      <c r="AF10" s="43"/>
      <c r="AG10" s="43"/>
      <c r="AH10" s="43"/>
      <c r="AI10" s="43"/>
      <c r="AJ10" s="47"/>
      <c r="AK10" s="43"/>
      <c r="AL10" s="43"/>
      <c r="AM10" s="43">
        <v>32</v>
      </c>
      <c r="AN10" s="43"/>
      <c r="AO10" s="45"/>
      <c r="AP10" s="36"/>
      <c r="AQ10" s="35"/>
      <c r="AR10" s="35">
        <v>16</v>
      </c>
      <c r="AS10" s="35">
        <v>40</v>
      </c>
      <c r="AT10" s="35">
        <v>40</v>
      </c>
      <c r="AU10" s="37"/>
      <c r="AV10" s="38">
        <v>8</v>
      </c>
      <c r="AW10" s="35"/>
      <c r="AX10" s="39"/>
      <c r="AY10" s="39"/>
      <c r="AZ10" s="37"/>
      <c r="BA10" s="38"/>
      <c r="BB10" s="35"/>
      <c r="BC10" s="39"/>
      <c r="BD10" s="39"/>
      <c r="BE10" s="37">
        <v>16</v>
      </c>
      <c r="BF10" s="36"/>
      <c r="BG10" s="35"/>
      <c r="BH10" s="35"/>
      <c r="BI10" s="35"/>
      <c r="BJ10" s="35"/>
      <c r="BK10" s="37"/>
      <c r="BL10" s="43"/>
      <c r="BM10" s="43"/>
      <c r="BN10" s="43">
        <v>8</v>
      </c>
      <c r="BO10" s="46">
        <v>32</v>
      </c>
      <c r="BP10" s="42"/>
      <c r="BQ10" s="12">
        <f t="shared" si="16"/>
        <v>232</v>
      </c>
      <c r="BR10" s="13">
        <f t="shared" si="17"/>
        <v>-10</v>
      </c>
    </row>
    <row r="11" spans="1:71" s="14" customFormat="1" ht="21" customHeight="1">
      <c r="A11" s="25" t="s">
        <v>152</v>
      </c>
      <c r="B11" s="8">
        <v>1</v>
      </c>
      <c r="C11" s="9">
        <v>200</v>
      </c>
      <c r="D11" s="10">
        <v>0</v>
      </c>
      <c r="E11" s="11">
        <f t="shared" ref="E11" si="18">SUM(B11+C11+D11)</f>
        <v>201</v>
      </c>
      <c r="F11" s="186"/>
      <c r="G11" s="187"/>
      <c r="H11" s="187"/>
      <c r="I11" s="187"/>
      <c r="J11" s="187"/>
      <c r="K11" s="279"/>
      <c r="L11" s="187"/>
      <c r="M11" s="187"/>
      <c r="N11" s="187"/>
      <c r="O11" s="187"/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48"/>
      <c r="AB11" s="241">
        <v>24</v>
      </c>
      <c r="AC11" s="49"/>
      <c r="AD11" s="49"/>
      <c r="AE11" s="50"/>
      <c r="AF11" s="49"/>
      <c r="AG11" s="49"/>
      <c r="AH11" s="49"/>
      <c r="AI11" s="49"/>
      <c r="AJ11" s="51"/>
      <c r="AK11" s="49"/>
      <c r="AL11" s="35">
        <v>32</v>
      </c>
      <c r="AM11" s="35">
        <v>40</v>
      </c>
      <c r="AN11" s="49"/>
      <c r="AO11" s="51"/>
      <c r="AP11" s="36"/>
      <c r="AQ11" s="35">
        <v>8</v>
      </c>
      <c r="AR11" s="35">
        <v>40</v>
      </c>
      <c r="AS11" s="35"/>
      <c r="AT11" s="35"/>
      <c r="AU11" s="37"/>
      <c r="AV11" s="38"/>
      <c r="AW11" s="35"/>
      <c r="AX11" s="39"/>
      <c r="AY11" s="39"/>
      <c r="AZ11" s="37"/>
      <c r="BA11" s="38"/>
      <c r="BB11" s="35"/>
      <c r="BC11" s="39"/>
      <c r="BD11" s="39"/>
      <c r="BE11" s="37">
        <v>16</v>
      </c>
      <c r="BF11" s="36"/>
      <c r="BG11" s="35"/>
      <c r="BH11" s="35"/>
      <c r="BI11" s="35"/>
      <c r="BJ11" s="35"/>
      <c r="BK11" s="37"/>
      <c r="BL11" s="49"/>
      <c r="BM11" s="49"/>
      <c r="BN11" s="35">
        <v>8</v>
      </c>
      <c r="BO11" s="242">
        <v>32</v>
      </c>
      <c r="BP11" s="48"/>
      <c r="BQ11" s="12">
        <f t="shared" ref="BQ11" si="19">SUM(F11:BP11)</f>
        <v>200</v>
      </c>
      <c r="BR11" s="13">
        <f t="shared" ref="BR11" si="20">E11-BQ11</f>
        <v>1</v>
      </c>
    </row>
    <row r="12" spans="1:71" s="14" customFormat="1" ht="21" customHeight="1">
      <c r="A12" s="7" t="s">
        <v>120</v>
      </c>
      <c r="B12" s="8">
        <v>24</v>
      </c>
      <c r="C12" s="19">
        <v>200</v>
      </c>
      <c r="D12" s="21">
        <v>0</v>
      </c>
      <c r="E12" s="11">
        <f t="shared" si="15"/>
        <v>224</v>
      </c>
      <c r="F12" s="186"/>
      <c r="G12" s="187"/>
      <c r="H12" s="187"/>
      <c r="I12" s="187">
        <v>40</v>
      </c>
      <c r="J12" s="187"/>
      <c r="K12" s="279"/>
      <c r="L12" s="187"/>
      <c r="M12" s="208"/>
      <c r="N12" s="187"/>
      <c r="O12" s="208"/>
      <c r="P12" s="36"/>
      <c r="Q12" s="35"/>
      <c r="R12" s="35"/>
      <c r="S12" s="35"/>
      <c r="T12" s="35"/>
      <c r="U12" s="37"/>
      <c r="V12" s="38"/>
      <c r="W12" s="35"/>
      <c r="X12" s="39">
        <v>8</v>
      </c>
      <c r="Y12" s="39"/>
      <c r="Z12" s="37"/>
      <c r="AA12" s="34"/>
      <c r="AB12" s="43">
        <v>8</v>
      </c>
      <c r="AC12" s="35"/>
      <c r="AD12" s="35"/>
      <c r="AE12" s="37"/>
      <c r="AF12" s="35"/>
      <c r="AG12" s="35">
        <v>40</v>
      </c>
      <c r="AH12" s="35"/>
      <c r="AI12" s="35"/>
      <c r="AJ12" s="40"/>
      <c r="AK12" s="35"/>
      <c r="AL12" s="35"/>
      <c r="AM12" s="35"/>
      <c r="AN12" s="35"/>
      <c r="AO12" s="40">
        <v>40</v>
      </c>
      <c r="AP12" s="36"/>
      <c r="AQ12" s="35"/>
      <c r="AR12" s="35"/>
      <c r="AS12" s="35"/>
      <c r="AT12" s="35"/>
      <c r="AU12" s="44">
        <v>8</v>
      </c>
      <c r="AV12" s="38">
        <v>32</v>
      </c>
      <c r="AW12" s="35"/>
      <c r="AX12" s="39"/>
      <c r="AY12" s="39"/>
      <c r="AZ12" s="37"/>
      <c r="BA12" s="38"/>
      <c r="BB12" s="35"/>
      <c r="BC12" s="39"/>
      <c r="BD12" s="39"/>
      <c r="BE12" s="37"/>
      <c r="BF12" s="36"/>
      <c r="BG12" s="43">
        <v>8</v>
      </c>
      <c r="BH12" s="35"/>
      <c r="BI12" s="35"/>
      <c r="BJ12" s="35"/>
      <c r="BK12" s="37"/>
      <c r="BL12" s="35"/>
      <c r="BM12" s="35"/>
      <c r="BN12" s="35"/>
      <c r="BO12" s="41">
        <v>32</v>
      </c>
      <c r="BP12" s="34"/>
      <c r="BQ12" s="171">
        <f t="shared" si="16"/>
        <v>216</v>
      </c>
      <c r="BR12" s="13">
        <f t="shared" si="17"/>
        <v>8</v>
      </c>
      <c r="BS12" s="16"/>
    </row>
    <row r="13" spans="1:71" s="4" customFormat="1" ht="21" customHeight="1">
      <c r="A13" s="7" t="s">
        <v>121</v>
      </c>
      <c r="B13" s="8">
        <v>40</v>
      </c>
      <c r="C13" s="9">
        <v>200</v>
      </c>
      <c r="D13" s="10">
        <v>0</v>
      </c>
      <c r="E13" s="11">
        <f t="shared" si="15"/>
        <v>240</v>
      </c>
      <c r="F13" s="186"/>
      <c r="G13" s="187"/>
      <c r="H13" s="208">
        <v>8</v>
      </c>
      <c r="I13" s="187"/>
      <c r="J13" s="187"/>
      <c r="K13" s="279"/>
      <c r="L13" s="187">
        <v>24</v>
      </c>
      <c r="M13" s="187"/>
      <c r="N13" s="187"/>
      <c r="O13" s="187">
        <v>24</v>
      </c>
      <c r="P13" s="36"/>
      <c r="Q13" s="35"/>
      <c r="R13" s="35"/>
      <c r="S13" s="35">
        <v>8</v>
      </c>
      <c r="T13" s="35"/>
      <c r="U13" s="37"/>
      <c r="V13" s="38"/>
      <c r="W13" s="35"/>
      <c r="X13" s="39"/>
      <c r="Y13" s="39"/>
      <c r="Z13" s="37"/>
      <c r="AA13" s="34"/>
      <c r="AB13" s="35"/>
      <c r="AC13" s="35"/>
      <c r="AD13" s="43"/>
      <c r="AE13" s="44"/>
      <c r="AF13" s="43"/>
      <c r="AG13" s="43"/>
      <c r="AH13" s="43"/>
      <c r="AI13" s="43"/>
      <c r="AJ13" s="45"/>
      <c r="AK13" s="43"/>
      <c r="AL13" s="43">
        <v>32</v>
      </c>
      <c r="AM13" s="43">
        <v>40</v>
      </c>
      <c r="AN13" s="43"/>
      <c r="AO13" s="45">
        <v>8</v>
      </c>
      <c r="AP13" s="36"/>
      <c r="AQ13" s="35"/>
      <c r="AR13" s="35"/>
      <c r="AS13" s="35"/>
      <c r="AT13" s="35">
        <v>40</v>
      </c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>
        <v>16</v>
      </c>
      <c r="BF13" s="36"/>
      <c r="BG13" s="35"/>
      <c r="BH13" s="35"/>
      <c r="BI13" s="35">
        <v>8</v>
      </c>
      <c r="BJ13" s="35"/>
      <c r="BK13" s="37"/>
      <c r="BL13" s="43"/>
      <c r="BM13" s="43"/>
      <c r="BN13" s="43"/>
      <c r="BO13" s="46">
        <v>32</v>
      </c>
      <c r="BP13" s="42"/>
      <c r="BQ13" s="12">
        <f t="shared" si="16"/>
        <v>240</v>
      </c>
      <c r="BR13" s="13">
        <f t="shared" si="17"/>
        <v>0</v>
      </c>
    </row>
    <row r="14" spans="1:71" s="14" customFormat="1" ht="21" customHeight="1">
      <c r="A14" s="7"/>
      <c r="B14" s="8"/>
      <c r="C14" s="9"/>
      <c r="D14" s="10"/>
      <c r="E14" s="11">
        <f t="shared" si="15"/>
        <v>0</v>
      </c>
      <c r="F14" s="34"/>
      <c r="G14" s="35"/>
      <c r="H14" s="35"/>
      <c r="I14" s="35"/>
      <c r="J14" s="35"/>
      <c r="K14" s="36"/>
      <c r="L14" s="35"/>
      <c r="M14" s="35"/>
      <c r="N14" s="35"/>
      <c r="O14" s="35"/>
      <c r="P14" s="36"/>
      <c r="Q14" s="35"/>
      <c r="R14" s="35"/>
      <c r="S14" s="35"/>
      <c r="T14" s="35"/>
      <c r="U14" s="37"/>
      <c r="V14" s="38"/>
      <c r="W14" s="35"/>
      <c r="X14" s="39"/>
      <c r="Y14" s="39"/>
      <c r="Z14" s="37"/>
      <c r="AA14" s="34"/>
      <c r="AB14" s="35"/>
      <c r="AC14" s="35"/>
      <c r="AD14" s="35"/>
      <c r="AE14" s="37"/>
      <c r="AF14" s="35"/>
      <c r="AG14" s="35"/>
      <c r="AH14" s="35"/>
      <c r="AI14" s="35"/>
      <c r="AJ14" s="40"/>
      <c r="AK14" s="35"/>
      <c r="AL14" s="35"/>
      <c r="AM14" s="35"/>
      <c r="AN14" s="35"/>
      <c r="AO14" s="40"/>
      <c r="AP14" s="36"/>
      <c r="AQ14" s="35"/>
      <c r="AR14" s="35"/>
      <c r="AS14" s="35"/>
      <c r="AT14" s="35"/>
      <c r="AU14" s="37"/>
      <c r="AV14" s="38"/>
      <c r="AW14" s="35"/>
      <c r="AX14" s="39"/>
      <c r="AY14" s="39"/>
      <c r="AZ14" s="37"/>
      <c r="BA14" s="38"/>
      <c r="BB14" s="35"/>
      <c r="BC14" s="39"/>
      <c r="BD14" s="39"/>
      <c r="BE14" s="37"/>
      <c r="BF14" s="36"/>
      <c r="BG14" s="35"/>
      <c r="BH14" s="35"/>
      <c r="BI14" s="35"/>
      <c r="BJ14" s="35"/>
      <c r="BK14" s="37"/>
      <c r="BL14" s="35"/>
      <c r="BM14" s="35"/>
      <c r="BN14" s="35"/>
      <c r="BO14" s="41"/>
      <c r="BP14" s="34"/>
      <c r="BQ14" s="12">
        <f t="shared" si="16"/>
        <v>0</v>
      </c>
      <c r="BR14" s="13">
        <f t="shared" si="17"/>
        <v>0</v>
      </c>
    </row>
    <row r="15" spans="1:71" s="14" customFormat="1" ht="21" customHeight="1">
      <c r="A15" s="7"/>
      <c r="B15" s="8"/>
      <c r="C15" s="9"/>
      <c r="D15" s="10"/>
      <c r="E15" s="11">
        <f t="shared" si="15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37"/>
      <c r="AF15" s="35"/>
      <c r="AG15" s="35"/>
      <c r="AH15" s="35"/>
      <c r="AI15" s="35"/>
      <c r="AJ15" s="40"/>
      <c r="AK15" s="35"/>
      <c r="AL15" s="35"/>
      <c r="AM15" s="35"/>
      <c r="AN15" s="35"/>
      <c r="AO15" s="40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/>
      <c r="BP15" s="34"/>
      <c r="BQ15" s="12">
        <f t="shared" si="16"/>
        <v>0</v>
      </c>
      <c r="BR15" s="13">
        <f t="shared" si="17"/>
        <v>0</v>
      </c>
    </row>
    <row r="16" spans="1:71" s="17" customFormat="1" ht="21" customHeight="1">
      <c r="A16" s="7"/>
      <c r="B16" s="8"/>
      <c r="C16" s="19"/>
      <c r="D16" s="21"/>
      <c r="E16" s="11">
        <f t="shared" si="15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42"/>
      <c r="BQ16" s="12">
        <f t="shared" si="16"/>
        <v>0</v>
      </c>
      <c r="BR16" s="13">
        <f t="shared" si="17"/>
        <v>0</v>
      </c>
    </row>
    <row r="17" spans="1:72" s="17" customFormat="1" ht="21" customHeight="1">
      <c r="A17" s="25"/>
      <c r="B17" s="8"/>
      <c r="C17" s="9"/>
      <c r="D17" s="10"/>
      <c r="E17" s="11">
        <f t="shared" si="15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34"/>
      <c r="BQ17" s="12">
        <f t="shared" si="16"/>
        <v>0</v>
      </c>
      <c r="BR17" s="13">
        <f t="shared" si="17"/>
        <v>0</v>
      </c>
    </row>
    <row r="18" spans="1:72" s="4" customFormat="1" ht="21" customHeight="1">
      <c r="A18" s="25"/>
      <c r="B18" s="8"/>
      <c r="C18" s="9"/>
      <c r="D18" s="10"/>
      <c r="E18" s="11">
        <f t="shared" si="15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43"/>
      <c r="AG18" s="43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34"/>
      <c r="BQ18" s="12">
        <f t="shared" si="16"/>
        <v>0</v>
      </c>
      <c r="BR18" s="13">
        <f t="shared" si="17"/>
        <v>0</v>
      </c>
    </row>
    <row r="19" spans="1:72" s="14" customFormat="1" ht="21" customHeight="1">
      <c r="A19" s="7"/>
      <c r="B19" s="8"/>
      <c r="C19" s="9"/>
      <c r="D19" s="8"/>
      <c r="E19" s="11">
        <f t="shared" si="15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43"/>
      <c r="S19" s="43"/>
      <c r="T19" s="43"/>
      <c r="U19" s="44"/>
      <c r="V19" s="38"/>
      <c r="W19" s="35"/>
      <c r="X19" s="39"/>
      <c r="Y19" s="39"/>
      <c r="Z19" s="37"/>
      <c r="AA19" s="42"/>
      <c r="AB19" s="35"/>
      <c r="AC19" s="35"/>
      <c r="AD19" s="35"/>
      <c r="AE19" s="37"/>
      <c r="AF19" s="35"/>
      <c r="AG19" s="35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43"/>
      <c r="AS19" s="43"/>
      <c r="AT19" s="43"/>
      <c r="AU19" s="44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43"/>
      <c r="BI19" s="43"/>
      <c r="BJ19" s="43"/>
      <c r="BK19" s="44"/>
      <c r="BL19" s="35"/>
      <c r="BM19" s="35"/>
      <c r="BN19" s="35"/>
      <c r="BO19" s="46"/>
      <c r="BP19" s="42"/>
      <c r="BQ19" s="12">
        <f t="shared" si="16"/>
        <v>0</v>
      </c>
      <c r="BR19" s="13">
        <f t="shared" si="17"/>
        <v>0</v>
      </c>
    </row>
    <row r="20" spans="1:72" s="14" customFormat="1" ht="21" customHeight="1">
      <c r="A20" s="7"/>
      <c r="B20" s="8"/>
      <c r="C20" s="9"/>
      <c r="D20" s="10"/>
      <c r="E20" s="11">
        <f t="shared" si="15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35"/>
      <c r="S20" s="35"/>
      <c r="T20" s="35"/>
      <c r="U20" s="37"/>
      <c r="V20" s="38"/>
      <c r="W20" s="35"/>
      <c r="X20" s="39"/>
      <c r="Y20" s="39"/>
      <c r="Z20" s="37"/>
      <c r="AA20" s="34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35"/>
      <c r="AS20" s="35"/>
      <c r="AT20" s="35"/>
      <c r="AU20" s="37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35"/>
      <c r="BI20" s="35"/>
      <c r="BJ20" s="35"/>
      <c r="BK20" s="37"/>
      <c r="BL20" s="35"/>
      <c r="BM20" s="35"/>
      <c r="BN20" s="35"/>
      <c r="BO20" s="41"/>
      <c r="BP20" s="34"/>
      <c r="BQ20" s="12">
        <f t="shared" si="16"/>
        <v>0</v>
      </c>
      <c r="BR20" s="13">
        <f t="shared" si="17"/>
        <v>0</v>
      </c>
      <c r="BT20" s="14" t="s">
        <v>72</v>
      </c>
    </row>
    <row r="21" spans="1:72" s="4" customFormat="1" ht="21" customHeight="1">
      <c r="A21" s="7"/>
      <c r="B21" s="8"/>
      <c r="C21" s="9"/>
      <c r="D21" s="18"/>
      <c r="E21" s="11">
        <f t="shared" si="15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6"/>
        <v>0</v>
      </c>
      <c r="BR21" s="13">
        <f t="shared" si="17"/>
        <v>0</v>
      </c>
    </row>
    <row r="22" spans="1:72" ht="21" customHeight="1">
      <c r="A22" s="7"/>
      <c r="B22" s="8"/>
      <c r="C22" s="19"/>
      <c r="D22" s="20"/>
      <c r="E22" s="11">
        <f t="shared" si="15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6"/>
        <v>0</v>
      </c>
      <c r="BR22" s="13">
        <f t="shared" si="17"/>
        <v>0</v>
      </c>
    </row>
    <row r="23" spans="1:72" s="14" customFormat="1" ht="21" customHeight="1">
      <c r="A23" s="7"/>
      <c r="B23" s="8"/>
      <c r="C23" s="19"/>
      <c r="D23" s="21"/>
      <c r="E23" s="11">
        <f t="shared" si="15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6"/>
        <v>0</v>
      </c>
      <c r="BR23" s="13">
        <f t="shared" si="17"/>
        <v>0</v>
      </c>
      <c r="BT23" s="14" t="s">
        <v>72</v>
      </c>
    </row>
    <row r="24" spans="1:72" s="4" customFormat="1" ht="21" customHeight="1">
      <c r="A24" s="7"/>
      <c r="B24" s="8"/>
      <c r="C24" s="19"/>
      <c r="D24" s="21"/>
      <c r="E24" s="11">
        <f t="shared" si="15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6"/>
        <v>0</v>
      </c>
      <c r="BR24" s="13">
        <f t="shared" si="17"/>
        <v>0</v>
      </c>
    </row>
    <row r="25" spans="1:72" ht="21" customHeight="1">
      <c r="A25" s="7"/>
      <c r="B25" s="8"/>
      <c r="C25" s="19"/>
      <c r="D25" s="20"/>
      <c r="E25" s="11">
        <f t="shared" si="15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6"/>
        <v>0</v>
      </c>
      <c r="BR25" s="13">
        <f t="shared" si="17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5">
    <cfRule type="cellIs" dxfId="5" priority="1" stopIfTrue="1" operator="lessThan">
      <formula>0</formula>
    </cfRule>
    <cfRule type="cellIs" dxfId="4" priority="2" stopIfTrue="1" operator="equal">
      <formula>0</formula>
    </cfRule>
    <cfRule type="cellIs" dxfId="3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99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7FCF-362F-49A3-A757-11994F965F08}">
  <dimension ref="A1:BT26"/>
  <sheetViews>
    <sheetView zoomScaleNormal="100" workbookViewId="0">
      <pane ySplit="7" topLeftCell="A8" activePane="bottomLeft" state="frozen"/>
      <selection pane="bottomLeft" activeCell="AK18" sqref="AK18"/>
    </sheetView>
  </sheetViews>
  <sheetFormatPr baseColWidth="10" defaultColWidth="11.5" defaultRowHeight="16"/>
  <cols>
    <col min="1" max="1" width="10.1640625" style="22" customWidth="1"/>
    <col min="2" max="2" width="2.1640625" style="23" customWidth="1"/>
    <col min="3" max="3" width="2.6640625" style="23" customWidth="1"/>
    <col min="4" max="4" width="2.1640625" style="23" customWidth="1"/>
    <col min="5" max="5" width="3" style="23" customWidth="1"/>
    <col min="6" max="16" width="1.83203125" style="22" customWidth="1"/>
    <col min="17" max="32" width="1.83203125" style="24" customWidth="1"/>
    <col min="33" max="33" width="2.1640625" style="24" customWidth="1"/>
    <col min="34" max="45" width="1.83203125" style="24" customWidth="1"/>
    <col min="46" max="46" width="2.33203125" style="24" customWidth="1"/>
    <col min="47" max="68" width="1.83203125" style="24" customWidth="1"/>
    <col min="69" max="69" width="2.1640625" style="24" hidden="1" customWidth="1"/>
    <col min="70" max="70" width="3.83203125" style="24" customWidth="1"/>
    <col min="71" max="16384" width="11.5" style="22"/>
  </cols>
  <sheetData>
    <row r="1" spans="1:72" s="1" customFormat="1" ht="26" thickBot="1">
      <c r="A1" s="306" t="s">
        <v>134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</row>
    <row r="2" spans="1:72" s="2" customFormat="1" ht="27" customHeight="1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</row>
    <row r="3" spans="1:72" s="3" customFormat="1" ht="18.75" customHeight="1" thickBo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09"/>
      <c r="BN3" s="309"/>
      <c r="BO3" s="309"/>
      <c r="BP3" s="309"/>
      <c r="BQ3" s="309"/>
      <c r="BR3" s="309"/>
    </row>
    <row r="4" spans="1:72" s="4" customFormat="1" ht="21" customHeight="1" thickBot="1">
      <c r="A4" s="310" t="s">
        <v>2</v>
      </c>
      <c r="B4" s="313" t="s">
        <v>3</v>
      </c>
      <c r="C4" s="313"/>
      <c r="D4" s="313"/>
      <c r="E4" s="313"/>
      <c r="F4" s="314" t="s">
        <v>4</v>
      </c>
      <c r="G4" s="314"/>
      <c r="H4" s="314"/>
      <c r="I4" s="314"/>
      <c r="J4" s="314"/>
      <c r="K4" s="315" t="s">
        <v>5</v>
      </c>
      <c r="L4" s="315"/>
      <c r="M4" s="315"/>
      <c r="N4" s="315"/>
      <c r="O4" s="315"/>
      <c r="P4" s="315" t="s">
        <v>6</v>
      </c>
      <c r="Q4" s="315"/>
      <c r="R4" s="315"/>
      <c r="S4" s="315"/>
      <c r="T4" s="315"/>
      <c r="U4" s="315"/>
      <c r="V4" s="315" t="s">
        <v>7</v>
      </c>
      <c r="W4" s="315"/>
      <c r="X4" s="315"/>
      <c r="Y4" s="315"/>
      <c r="Z4" s="315"/>
      <c r="AA4" s="315" t="s">
        <v>8</v>
      </c>
      <c r="AB4" s="315"/>
      <c r="AC4" s="315"/>
      <c r="AD4" s="315"/>
      <c r="AE4" s="315"/>
      <c r="AF4" s="315" t="s">
        <v>9</v>
      </c>
      <c r="AG4" s="315"/>
      <c r="AH4" s="315"/>
      <c r="AI4" s="315"/>
      <c r="AJ4" s="315"/>
      <c r="AK4" s="315" t="s">
        <v>10</v>
      </c>
      <c r="AL4" s="315"/>
      <c r="AM4" s="315"/>
      <c r="AN4" s="315"/>
      <c r="AO4" s="314"/>
      <c r="AP4" s="316" t="s">
        <v>11</v>
      </c>
      <c r="AQ4" s="317"/>
      <c r="AR4" s="317"/>
      <c r="AS4" s="317"/>
      <c r="AT4" s="317"/>
      <c r="AU4" s="318"/>
      <c r="AV4" s="316" t="s">
        <v>12</v>
      </c>
      <c r="AW4" s="317"/>
      <c r="AX4" s="317"/>
      <c r="AY4" s="317"/>
      <c r="AZ4" s="318"/>
      <c r="BA4" s="313" t="s">
        <v>13</v>
      </c>
      <c r="BB4" s="315"/>
      <c r="BC4" s="315"/>
      <c r="BD4" s="315"/>
      <c r="BE4" s="314"/>
      <c r="BF4" s="316" t="s">
        <v>14</v>
      </c>
      <c r="BG4" s="317"/>
      <c r="BH4" s="317"/>
      <c r="BI4" s="317"/>
      <c r="BJ4" s="317"/>
      <c r="BK4" s="318"/>
      <c r="BL4" s="316" t="s">
        <v>138</v>
      </c>
      <c r="BM4" s="317"/>
      <c r="BN4" s="317"/>
      <c r="BO4" s="317"/>
      <c r="BP4" s="317"/>
      <c r="BQ4" s="318"/>
      <c r="BR4" s="319" t="s">
        <v>15</v>
      </c>
    </row>
    <row r="5" spans="1:72" s="4" customFormat="1" ht="16.5" customHeight="1" thickBot="1">
      <c r="A5" s="311"/>
      <c r="B5" s="322">
        <v>2025</v>
      </c>
      <c r="C5" s="324">
        <v>2026</v>
      </c>
      <c r="D5" s="326" t="s">
        <v>135</v>
      </c>
      <c r="E5" s="328" t="s">
        <v>16</v>
      </c>
      <c r="F5" s="330" t="s">
        <v>17</v>
      </c>
      <c r="G5" s="330"/>
      <c r="H5" s="330"/>
      <c r="I5" s="330"/>
      <c r="J5" s="330"/>
      <c r="K5" s="331" t="s">
        <v>18</v>
      </c>
      <c r="L5" s="331"/>
      <c r="M5" s="331"/>
      <c r="N5" s="331"/>
      <c r="O5" s="331"/>
      <c r="P5" s="331" t="s">
        <v>18</v>
      </c>
      <c r="Q5" s="331"/>
      <c r="R5" s="331"/>
      <c r="S5" s="331"/>
      <c r="T5" s="331"/>
      <c r="U5" s="331"/>
      <c r="V5" s="331" t="s">
        <v>18</v>
      </c>
      <c r="W5" s="331"/>
      <c r="X5" s="331"/>
      <c r="Y5" s="331"/>
      <c r="Z5" s="331"/>
      <c r="AA5" s="331" t="s">
        <v>18</v>
      </c>
      <c r="AB5" s="331"/>
      <c r="AC5" s="331"/>
      <c r="AD5" s="331"/>
      <c r="AE5" s="331"/>
      <c r="AF5" s="332" t="s">
        <v>18</v>
      </c>
      <c r="AG5" s="332"/>
      <c r="AH5" s="332"/>
      <c r="AI5" s="332"/>
      <c r="AJ5" s="332"/>
      <c r="AK5" s="331" t="s">
        <v>18</v>
      </c>
      <c r="AL5" s="331"/>
      <c r="AM5" s="331"/>
      <c r="AN5" s="331"/>
      <c r="AO5" s="330"/>
      <c r="AP5" s="333" t="s">
        <v>18</v>
      </c>
      <c r="AQ5" s="334"/>
      <c r="AR5" s="334"/>
      <c r="AS5" s="334"/>
      <c r="AT5" s="334"/>
      <c r="AU5" s="335"/>
      <c r="AV5" s="333" t="s">
        <v>18</v>
      </c>
      <c r="AW5" s="334"/>
      <c r="AX5" s="334"/>
      <c r="AY5" s="334"/>
      <c r="AZ5" s="335"/>
      <c r="BA5" s="332" t="s">
        <v>18</v>
      </c>
      <c r="BB5" s="331"/>
      <c r="BC5" s="331"/>
      <c r="BD5" s="331"/>
      <c r="BE5" s="330"/>
      <c r="BF5" s="333" t="s">
        <v>18</v>
      </c>
      <c r="BG5" s="334"/>
      <c r="BH5" s="334"/>
      <c r="BI5" s="334"/>
      <c r="BJ5" s="334"/>
      <c r="BK5" s="335"/>
      <c r="BL5" s="333" t="s">
        <v>18</v>
      </c>
      <c r="BM5" s="334"/>
      <c r="BN5" s="334"/>
      <c r="BO5" s="334"/>
      <c r="BP5" s="334"/>
      <c r="BQ5" s="335"/>
      <c r="BR5" s="320"/>
    </row>
    <row r="6" spans="1:72" s="6" customFormat="1" ht="25.5" customHeight="1" thickBot="1">
      <c r="A6" s="311"/>
      <c r="B6" s="322"/>
      <c r="C6" s="324"/>
      <c r="D6" s="326"/>
      <c r="E6" s="328"/>
      <c r="F6" s="5">
        <v>45292</v>
      </c>
      <c r="G6" s="5">
        <v>46027</v>
      </c>
      <c r="H6" s="5">
        <f t="shared" ref="H6:J6" si="0">G6+7</f>
        <v>46034</v>
      </c>
      <c r="I6" s="5">
        <f t="shared" si="0"/>
        <v>46041</v>
      </c>
      <c r="J6" s="336">
        <f t="shared" si="0"/>
        <v>46048</v>
      </c>
      <c r="K6" s="336"/>
      <c r="L6" s="5">
        <f t="shared" ref="L6" si="1">J6+7</f>
        <v>46055</v>
      </c>
      <c r="M6" s="5">
        <f t="shared" ref="M6:O6" si="2">L6+7</f>
        <v>46062</v>
      </c>
      <c r="N6" s="5">
        <f t="shared" si="2"/>
        <v>46069</v>
      </c>
      <c r="O6" s="336">
        <f t="shared" si="2"/>
        <v>46076</v>
      </c>
      <c r="P6" s="336"/>
      <c r="Q6" s="5">
        <f>O6+7</f>
        <v>46083</v>
      </c>
      <c r="R6" s="5">
        <f t="shared" ref="R6:U6" si="3">Q6+7</f>
        <v>46090</v>
      </c>
      <c r="S6" s="5">
        <f t="shared" si="3"/>
        <v>46097</v>
      </c>
      <c r="T6" s="5">
        <f t="shared" si="3"/>
        <v>46104</v>
      </c>
      <c r="U6" s="336">
        <f t="shared" si="3"/>
        <v>46111</v>
      </c>
      <c r="V6" s="336"/>
      <c r="W6" s="5">
        <v>46118</v>
      </c>
      <c r="X6" s="5">
        <f t="shared" ref="X6:Z6" si="4">W6+7</f>
        <v>46125</v>
      </c>
      <c r="Y6" s="5">
        <f t="shared" si="4"/>
        <v>46132</v>
      </c>
      <c r="Z6" s="336">
        <f t="shared" si="4"/>
        <v>46139</v>
      </c>
      <c r="AA6" s="336"/>
      <c r="AB6" s="5">
        <v>46146</v>
      </c>
      <c r="AC6" s="5">
        <f t="shared" ref="AC6:BP6" si="5">AB6+7</f>
        <v>46153</v>
      </c>
      <c r="AD6" s="5">
        <f t="shared" si="5"/>
        <v>46160</v>
      </c>
      <c r="AE6" s="53">
        <f t="shared" si="5"/>
        <v>46167</v>
      </c>
      <c r="AF6" s="5">
        <v>46174</v>
      </c>
      <c r="AG6" s="5">
        <f t="shared" ref="AG6:AJ6" si="6">AF6+7</f>
        <v>46181</v>
      </c>
      <c r="AH6" s="5">
        <f t="shared" si="6"/>
        <v>46188</v>
      </c>
      <c r="AI6" s="5">
        <f t="shared" si="6"/>
        <v>46195</v>
      </c>
      <c r="AJ6" s="336">
        <f t="shared" si="6"/>
        <v>46202</v>
      </c>
      <c r="AK6" s="336"/>
      <c r="AL6" s="5">
        <v>46209</v>
      </c>
      <c r="AM6" s="5">
        <f t="shared" ref="AM6" si="7">AL6+7</f>
        <v>46216</v>
      </c>
      <c r="AN6" s="5">
        <f>AM6+7</f>
        <v>46223</v>
      </c>
      <c r="AO6" s="336">
        <f t="shared" ref="AO6" si="8">AN6+7</f>
        <v>46230</v>
      </c>
      <c r="AP6" s="337"/>
      <c r="AQ6" s="71">
        <v>46237</v>
      </c>
      <c r="AR6" s="71">
        <f t="shared" ref="AR6:AZ6" si="9">AQ6+7</f>
        <v>46244</v>
      </c>
      <c r="AS6" s="71">
        <f t="shared" si="9"/>
        <v>46251</v>
      </c>
      <c r="AT6" s="71">
        <f t="shared" si="9"/>
        <v>46258</v>
      </c>
      <c r="AU6" s="337">
        <f t="shared" si="9"/>
        <v>46265</v>
      </c>
      <c r="AV6" s="337"/>
      <c r="AW6" s="71">
        <v>46328</v>
      </c>
      <c r="AX6" s="71">
        <f t="shared" si="9"/>
        <v>46335</v>
      </c>
      <c r="AY6" s="71">
        <f t="shared" si="9"/>
        <v>46342</v>
      </c>
      <c r="AZ6" s="337">
        <f t="shared" si="9"/>
        <v>46349</v>
      </c>
      <c r="BA6" s="336"/>
      <c r="BB6" s="5">
        <f>AZ6+7</f>
        <v>46356</v>
      </c>
      <c r="BC6" s="5">
        <f t="shared" ref="BC6:BE6" si="10">BB6+7</f>
        <v>46363</v>
      </c>
      <c r="BD6" s="5">
        <f t="shared" si="10"/>
        <v>46370</v>
      </c>
      <c r="BE6" s="336">
        <f t="shared" si="10"/>
        <v>46377</v>
      </c>
      <c r="BF6" s="337"/>
      <c r="BG6" s="71">
        <v>46328</v>
      </c>
      <c r="BH6" s="71">
        <f t="shared" ref="BH6:BK6" si="11">BG6+7</f>
        <v>46335</v>
      </c>
      <c r="BI6" s="71">
        <f t="shared" si="11"/>
        <v>46342</v>
      </c>
      <c r="BJ6" s="71">
        <f t="shared" si="11"/>
        <v>46349</v>
      </c>
      <c r="BK6" s="337">
        <f t="shared" si="11"/>
        <v>46356</v>
      </c>
      <c r="BL6" s="337"/>
      <c r="BM6" s="71">
        <v>46363</v>
      </c>
      <c r="BN6" s="71">
        <f>BM6+7</f>
        <v>46370</v>
      </c>
      <c r="BO6" s="71">
        <f t="shared" si="5"/>
        <v>46377</v>
      </c>
      <c r="BP6" s="71">
        <f t="shared" si="5"/>
        <v>46384</v>
      </c>
      <c r="BQ6" s="338" t="s">
        <v>66</v>
      </c>
      <c r="BR6" s="320"/>
    </row>
    <row r="7" spans="1:72" s="6" customFormat="1" ht="26.25" customHeight="1" thickBot="1">
      <c r="A7" s="312"/>
      <c r="B7" s="323"/>
      <c r="C7" s="325"/>
      <c r="D7" s="327"/>
      <c r="E7" s="329"/>
      <c r="F7" s="68">
        <v>1</v>
      </c>
      <c r="G7" s="69" t="s">
        <v>19</v>
      </c>
      <c r="H7" s="69" t="s">
        <v>20</v>
      </c>
      <c r="I7" s="69" t="s">
        <v>21</v>
      </c>
      <c r="J7" s="340" t="s">
        <v>22</v>
      </c>
      <c r="K7" s="341"/>
      <c r="L7" s="69" t="s">
        <v>23</v>
      </c>
      <c r="M7" s="69" t="s">
        <v>24</v>
      </c>
      <c r="N7" s="69" t="s">
        <v>25</v>
      </c>
      <c r="O7" s="340" t="s">
        <v>73</v>
      </c>
      <c r="P7" s="341"/>
      <c r="Q7" s="69" t="s">
        <v>26</v>
      </c>
      <c r="R7" s="69" t="s">
        <v>27</v>
      </c>
      <c r="S7" s="69" t="s">
        <v>28</v>
      </c>
      <c r="T7" s="69" t="s">
        <v>29</v>
      </c>
      <c r="U7" s="340" t="s">
        <v>30</v>
      </c>
      <c r="V7" s="341"/>
      <c r="W7" s="69" t="s">
        <v>31</v>
      </c>
      <c r="X7" s="69" t="s">
        <v>32</v>
      </c>
      <c r="Y7" s="69" t="s">
        <v>33</v>
      </c>
      <c r="Z7" s="340" t="s">
        <v>34</v>
      </c>
      <c r="AA7" s="341"/>
      <c r="AB7" s="69" t="s">
        <v>35</v>
      </c>
      <c r="AC7" s="69" t="s">
        <v>36</v>
      </c>
      <c r="AD7" s="69" t="s">
        <v>37</v>
      </c>
      <c r="AE7" s="70" t="s">
        <v>38</v>
      </c>
      <c r="AF7" s="69" t="s">
        <v>39</v>
      </c>
      <c r="AG7" s="69" t="s">
        <v>40</v>
      </c>
      <c r="AH7" s="69" t="s">
        <v>41</v>
      </c>
      <c r="AI7" s="69" t="s">
        <v>42</v>
      </c>
      <c r="AJ7" s="340" t="s">
        <v>43</v>
      </c>
      <c r="AK7" s="341"/>
      <c r="AL7" s="69" t="s">
        <v>44</v>
      </c>
      <c r="AM7" s="69" t="s">
        <v>45</v>
      </c>
      <c r="AN7" s="69" t="s">
        <v>46</v>
      </c>
      <c r="AO7" s="340" t="s">
        <v>47</v>
      </c>
      <c r="AP7" s="341"/>
      <c r="AQ7" s="69" t="s">
        <v>48</v>
      </c>
      <c r="AR7" s="69" t="s">
        <v>49</v>
      </c>
      <c r="AS7" s="69" t="s">
        <v>50</v>
      </c>
      <c r="AT7" s="69" t="s">
        <v>51</v>
      </c>
      <c r="AU7" s="340">
        <v>36</v>
      </c>
      <c r="AV7" s="341"/>
      <c r="AW7" s="69" t="s">
        <v>52</v>
      </c>
      <c r="AX7" s="69" t="s">
        <v>53</v>
      </c>
      <c r="AY7" s="69" t="s">
        <v>54</v>
      </c>
      <c r="AZ7" s="340" t="s">
        <v>55</v>
      </c>
      <c r="BA7" s="341"/>
      <c r="BB7" s="69" t="s">
        <v>56</v>
      </c>
      <c r="BC7" s="69" t="s">
        <v>57</v>
      </c>
      <c r="BD7" s="69" t="s">
        <v>58</v>
      </c>
      <c r="BE7" s="340" t="s">
        <v>123</v>
      </c>
      <c r="BF7" s="341"/>
      <c r="BG7" s="69" t="s">
        <v>59</v>
      </c>
      <c r="BH7" s="69" t="s">
        <v>60</v>
      </c>
      <c r="BI7" s="69" t="s">
        <v>61</v>
      </c>
      <c r="BJ7" s="69" t="s">
        <v>62</v>
      </c>
      <c r="BK7" s="340">
        <v>49</v>
      </c>
      <c r="BL7" s="341"/>
      <c r="BM7" s="69" t="s">
        <v>63</v>
      </c>
      <c r="BN7" s="69" t="s">
        <v>64</v>
      </c>
      <c r="BO7" s="69" t="s">
        <v>65</v>
      </c>
      <c r="BP7" s="69" t="s">
        <v>136</v>
      </c>
      <c r="BQ7" s="339"/>
      <c r="BR7" s="321"/>
    </row>
    <row r="8" spans="1:72" s="14" customFormat="1" ht="21" customHeight="1">
      <c r="A8" s="7" t="s">
        <v>140</v>
      </c>
      <c r="B8" s="54">
        <v>12</v>
      </c>
      <c r="C8" s="55">
        <v>200</v>
      </c>
      <c r="D8" s="56">
        <v>0</v>
      </c>
      <c r="E8" s="57">
        <f t="shared" ref="E8" si="12">SUM(B8+C8+D8)</f>
        <v>212</v>
      </c>
      <c r="F8" s="190"/>
      <c r="G8" s="191"/>
      <c r="H8" s="191"/>
      <c r="I8" s="191"/>
      <c r="J8" s="191"/>
      <c r="K8" s="276"/>
      <c r="L8" s="191"/>
      <c r="M8" s="191"/>
      <c r="N8" s="191"/>
      <c r="O8" s="191">
        <v>8</v>
      </c>
      <c r="P8" s="60"/>
      <c r="Q8" s="59"/>
      <c r="R8" s="59"/>
      <c r="S8" s="59"/>
      <c r="T8" s="59">
        <v>4</v>
      </c>
      <c r="U8" s="61"/>
      <c r="V8" s="62"/>
      <c r="W8" s="59"/>
      <c r="X8" s="63"/>
      <c r="Y8" s="63"/>
      <c r="Z8" s="61"/>
      <c r="AA8" s="58"/>
      <c r="AB8" s="59"/>
      <c r="AC8" s="59"/>
      <c r="AD8" s="59"/>
      <c r="AE8" s="61"/>
      <c r="AF8" s="59"/>
      <c r="AG8" s="59"/>
      <c r="AH8" s="59"/>
      <c r="AI8" s="59"/>
      <c r="AJ8" s="64"/>
      <c r="AK8" s="59"/>
      <c r="AL8" s="59"/>
      <c r="AM8" s="59"/>
      <c r="AN8" s="59">
        <v>40</v>
      </c>
      <c r="AO8" s="64">
        <v>40</v>
      </c>
      <c r="AP8" s="60"/>
      <c r="AQ8" s="59"/>
      <c r="AR8" s="59"/>
      <c r="AS8" s="59">
        <v>24</v>
      </c>
      <c r="AT8" s="59">
        <v>40</v>
      </c>
      <c r="AU8" s="61"/>
      <c r="AV8" s="62"/>
      <c r="AW8" s="59"/>
      <c r="AX8" s="63"/>
      <c r="AY8" s="63"/>
      <c r="AZ8" s="61"/>
      <c r="BA8" s="62"/>
      <c r="BB8" s="59"/>
      <c r="BC8" s="63"/>
      <c r="BD8" s="63"/>
      <c r="BE8" s="61"/>
      <c r="BF8" s="60"/>
      <c r="BG8" s="59"/>
      <c r="BH8" s="59"/>
      <c r="BI8" s="59"/>
      <c r="BJ8" s="59"/>
      <c r="BK8" s="61"/>
      <c r="BL8" s="59"/>
      <c r="BM8" s="59"/>
      <c r="BN8" s="59"/>
      <c r="BO8" s="65">
        <v>24</v>
      </c>
      <c r="BP8" s="58">
        <v>32</v>
      </c>
      <c r="BQ8" s="66">
        <f t="shared" ref="BQ8" si="13">SUM(F8:BP8)</f>
        <v>212</v>
      </c>
      <c r="BR8" s="67">
        <f t="shared" ref="BR8" si="14">E8-BQ8</f>
        <v>0</v>
      </c>
    </row>
    <row r="9" spans="1:72" s="15" customFormat="1" ht="21" customHeight="1">
      <c r="A9" s="7" t="s">
        <v>68</v>
      </c>
      <c r="B9" s="8">
        <v>36</v>
      </c>
      <c r="C9" s="9">
        <v>200</v>
      </c>
      <c r="D9" s="10">
        <v>0</v>
      </c>
      <c r="E9" s="11">
        <f t="shared" ref="E9:E26" si="15">SUM(B9+C9+D9)</f>
        <v>236</v>
      </c>
      <c r="F9" s="186">
        <v>8</v>
      </c>
      <c r="G9" s="187"/>
      <c r="H9" s="187"/>
      <c r="I9" s="187"/>
      <c r="J9" s="187"/>
      <c r="K9" s="279"/>
      <c r="L9" s="187"/>
      <c r="M9" s="187"/>
      <c r="N9" s="187"/>
      <c r="O9" s="187"/>
      <c r="P9" s="36"/>
      <c r="Q9" s="35"/>
      <c r="R9" s="35"/>
      <c r="S9" s="35"/>
      <c r="T9" s="35"/>
      <c r="U9" s="37"/>
      <c r="V9" s="38"/>
      <c r="W9" s="35"/>
      <c r="X9" s="39"/>
      <c r="Y9" s="39"/>
      <c r="Z9" s="37"/>
      <c r="AA9" s="42">
        <v>8</v>
      </c>
      <c r="AB9" s="35">
        <v>4</v>
      </c>
      <c r="AC9" s="35"/>
      <c r="AD9" s="43"/>
      <c r="AE9" s="44"/>
      <c r="AF9" s="43"/>
      <c r="AG9" s="43"/>
      <c r="AH9" s="43"/>
      <c r="AI9" s="43"/>
      <c r="AJ9" s="45"/>
      <c r="AK9" s="43"/>
      <c r="AL9" s="43"/>
      <c r="AM9" s="43"/>
      <c r="AN9" s="168">
        <v>40</v>
      </c>
      <c r="AO9" s="169">
        <v>40</v>
      </c>
      <c r="AP9" s="36"/>
      <c r="AQ9" s="35"/>
      <c r="AR9" s="35"/>
      <c r="AS9" s="170">
        <v>40</v>
      </c>
      <c r="AT9" s="35"/>
      <c r="AU9" s="37"/>
      <c r="AV9" s="38"/>
      <c r="AW9" s="35"/>
      <c r="AX9" s="39">
        <v>40</v>
      </c>
      <c r="AY9" s="39"/>
      <c r="AZ9" s="37"/>
      <c r="BA9" s="38"/>
      <c r="BB9" s="35"/>
      <c r="BC9" s="39"/>
      <c r="BD9" s="39"/>
      <c r="BE9" s="37"/>
      <c r="BF9" s="36"/>
      <c r="BG9" s="35"/>
      <c r="BH9" s="35"/>
      <c r="BI9" s="35"/>
      <c r="BJ9" s="35"/>
      <c r="BK9" s="37"/>
      <c r="BL9" s="43"/>
      <c r="BM9" s="43"/>
      <c r="BN9" s="43"/>
      <c r="BO9" s="46">
        <v>24</v>
      </c>
      <c r="BP9" s="42">
        <v>32</v>
      </c>
      <c r="BQ9" s="12">
        <f t="shared" ref="BQ9:BQ26" si="16">SUM(F9:BP9)</f>
        <v>236</v>
      </c>
      <c r="BR9" s="13">
        <f t="shared" ref="BR9:BR26" si="17">E9-BQ9</f>
        <v>0</v>
      </c>
      <c r="BT9" s="15">
        <v>3</v>
      </c>
    </row>
    <row r="10" spans="1:72" s="14" customFormat="1" ht="21" customHeight="1">
      <c r="A10" s="7" t="s">
        <v>69</v>
      </c>
      <c r="B10" s="8">
        <v>40</v>
      </c>
      <c r="C10" s="9">
        <v>200</v>
      </c>
      <c r="D10" s="10">
        <v>0</v>
      </c>
      <c r="E10" s="11">
        <f t="shared" si="15"/>
        <v>240</v>
      </c>
      <c r="F10" s="186">
        <v>20</v>
      </c>
      <c r="G10" s="187"/>
      <c r="H10" s="187"/>
      <c r="I10" s="187"/>
      <c r="J10" s="187"/>
      <c r="K10" s="279"/>
      <c r="L10" s="187"/>
      <c r="M10" s="187"/>
      <c r="N10" s="187"/>
      <c r="O10" s="187">
        <v>8</v>
      </c>
      <c r="P10" s="36"/>
      <c r="Q10" s="35"/>
      <c r="R10" s="35"/>
      <c r="S10" s="35"/>
      <c r="T10" s="35"/>
      <c r="U10" s="37"/>
      <c r="V10" s="38"/>
      <c r="W10" s="35">
        <v>16</v>
      </c>
      <c r="X10" s="39"/>
      <c r="Y10" s="39"/>
      <c r="Z10" s="37"/>
      <c r="AA10" s="42"/>
      <c r="AB10" s="43"/>
      <c r="AC10" s="35"/>
      <c r="AD10" s="43"/>
      <c r="AE10" s="44"/>
      <c r="AF10" s="43"/>
      <c r="AG10" s="43"/>
      <c r="AH10" s="43"/>
      <c r="AI10" s="168">
        <v>16</v>
      </c>
      <c r="AJ10" s="274">
        <v>40</v>
      </c>
      <c r="AK10" s="43"/>
      <c r="AL10" s="43"/>
      <c r="AM10" s="43"/>
      <c r="AN10" s="43"/>
      <c r="AO10" s="45"/>
      <c r="AP10" s="36">
        <v>40</v>
      </c>
      <c r="AQ10" s="35"/>
      <c r="AR10" s="35"/>
      <c r="AS10" s="35"/>
      <c r="AT10" s="35">
        <v>28</v>
      </c>
      <c r="AU10" s="37"/>
      <c r="AV10" s="38"/>
      <c r="AW10" s="35"/>
      <c r="AX10" s="39"/>
      <c r="AY10" s="39"/>
      <c r="AZ10" s="37"/>
      <c r="BA10" s="38"/>
      <c r="BB10" s="35">
        <v>16</v>
      </c>
      <c r="BC10" s="39"/>
      <c r="BD10" s="39"/>
      <c r="BE10" s="37"/>
      <c r="BF10" s="36"/>
      <c r="BG10" s="35"/>
      <c r="BH10" s="35"/>
      <c r="BI10" s="35"/>
      <c r="BJ10" s="35"/>
      <c r="BK10" s="37"/>
      <c r="BL10" s="43"/>
      <c r="BM10" s="43"/>
      <c r="BN10" s="43"/>
      <c r="BO10" s="46">
        <v>24</v>
      </c>
      <c r="BP10" s="42">
        <v>32</v>
      </c>
      <c r="BQ10" s="12">
        <f t="shared" si="16"/>
        <v>240</v>
      </c>
      <c r="BR10" s="13">
        <f t="shared" si="17"/>
        <v>0</v>
      </c>
    </row>
    <row r="11" spans="1:72" s="14" customFormat="1" ht="21" customHeight="1">
      <c r="A11" s="26" t="s">
        <v>70</v>
      </c>
      <c r="B11" s="8">
        <v>24</v>
      </c>
      <c r="C11" s="19">
        <v>200</v>
      </c>
      <c r="D11" s="21">
        <v>0</v>
      </c>
      <c r="E11" s="11">
        <f t="shared" si="15"/>
        <v>224</v>
      </c>
      <c r="F11" s="186"/>
      <c r="G11" s="187">
        <v>4</v>
      </c>
      <c r="H11" s="187"/>
      <c r="I11" s="187"/>
      <c r="J11" s="187"/>
      <c r="K11" s="279"/>
      <c r="L11" s="187"/>
      <c r="M11" s="187"/>
      <c r="N11" s="187"/>
      <c r="O11" s="187">
        <v>8</v>
      </c>
      <c r="P11" s="36"/>
      <c r="Q11" s="35"/>
      <c r="R11" s="35"/>
      <c r="S11" s="35"/>
      <c r="T11" s="35"/>
      <c r="U11" s="37"/>
      <c r="V11" s="38"/>
      <c r="W11" s="35"/>
      <c r="X11" s="39"/>
      <c r="Y11" s="39"/>
      <c r="Z11" s="37"/>
      <c r="AA11" s="34"/>
      <c r="AB11" s="43"/>
      <c r="AC11" s="35"/>
      <c r="AD11" s="35"/>
      <c r="AE11" s="37"/>
      <c r="AF11" s="35"/>
      <c r="AG11" s="35"/>
      <c r="AH11" s="35"/>
      <c r="AI11" s="170">
        <v>40</v>
      </c>
      <c r="AJ11" s="215">
        <v>32</v>
      </c>
      <c r="AK11" s="35"/>
      <c r="AL11" s="35"/>
      <c r="AM11" s="35"/>
      <c r="AN11" s="35"/>
      <c r="AO11" s="40">
        <v>40</v>
      </c>
      <c r="AP11" s="36"/>
      <c r="AQ11" s="35"/>
      <c r="AR11" s="35"/>
      <c r="AS11" s="35"/>
      <c r="AT11" s="35">
        <v>40</v>
      </c>
      <c r="AU11" s="37"/>
      <c r="AV11" s="38"/>
      <c r="AW11" s="35"/>
      <c r="AX11" s="39"/>
      <c r="AY11" s="39"/>
      <c r="AZ11" s="37"/>
      <c r="BA11" s="38"/>
      <c r="BB11" s="35"/>
      <c r="BC11" s="39"/>
      <c r="BD11" s="39"/>
      <c r="BE11" s="37"/>
      <c r="BF11" s="36"/>
      <c r="BG11" s="35"/>
      <c r="BH11" s="35"/>
      <c r="BI11" s="35">
        <v>8</v>
      </c>
      <c r="BJ11" s="35"/>
      <c r="BK11" s="37"/>
      <c r="BL11" s="35"/>
      <c r="BM11" s="35"/>
      <c r="BN11" s="35"/>
      <c r="BO11" s="41">
        <v>24</v>
      </c>
      <c r="BP11" s="34">
        <v>32</v>
      </c>
      <c r="BQ11" s="12">
        <f t="shared" si="16"/>
        <v>228</v>
      </c>
      <c r="BR11" s="13">
        <f t="shared" si="17"/>
        <v>-4</v>
      </c>
      <c r="BS11" s="16"/>
    </row>
    <row r="12" spans="1:72" s="4" customFormat="1" ht="21" customHeight="1">
      <c r="A12" s="7"/>
      <c r="B12" s="8"/>
      <c r="C12" s="9"/>
      <c r="D12" s="10"/>
      <c r="E12" s="11">
        <f t="shared" si="15"/>
        <v>0</v>
      </c>
      <c r="F12" s="34"/>
      <c r="G12" s="35"/>
      <c r="H12" s="35"/>
      <c r="I12" s="35"/>
      <c r="J12" s="35"/>
      <c r="K12" s="36"/>
      <c r="L12" s="35"/>
      <c r="M12" s="35"/>
      <c r="N12" s="35"/>
      <c r="O12" s="35"/>
      <c r="P12" s="36"/>
      <c r="Q12" s="35"/>
      <c r="R12" s="35"/>
      <c r="S12" s="35"/>
      <c r="T12" s="35"/>
      <c r="U12" s="37"/>
      <c r="V12" s="38"/>
      <c r="W12" s="35"/>
      <c r="X12" s="39"/>
      <c r="Y12" s="39"/>
      <c r="Z12" s="37"/>
      <c r="AA12" s="34"/>
      <c r="AB12" s="35"/>
      <c r="AC12" s="35"/>
      <c r="AD12" s="43"/>
      <c r="AE12" s="44"/>
      <c r="AF12" s="43"/>
      <c r="AG12" s="43"/>
      <c r="AH12" s="43"/>
      <c r="AI12" s="43"/>
      <c r="AJ12" s="45"/>
      <c r="AK12" s="43"/>
      <c r="AL12" s="43"/>
      <c r="AM12" s="43"/>
      <c r="AN12" s="43"/>
      <c r="AO12" s="45"/>
      <c r="AP12" s="36"/>
      <c r="AQ12" s="35"/>
      <c r="AR12" s="35"/>
      <c r="AS12" s="35"/>
      <c r="AT12" s="35"/>
      <c r="AU12" s="37"/>
      <c r="AV12" s="38"/>
      <c r="AW12" s="35"/>
      <c r="AX12" s="39"/>
      <c r="AY12" s="39"/>
      <c r="AZ12" s="37"/>
      <c r="BA12" s="38"/>
      <c r="BB12" s="35"/>
      <c r="BC12" s="39"/>
      <c r="BD12" s="39"/>
      <c r="BE12" s="37"/>
      <c r="BF12" s="36"/>
      <c r="BG12" s="35"/>
      <c r="BH12" s="35"/>
      <c r="BI12" s="35"/>
      <c r="BJ12" s="35"/>
      <c r="BK12" s="37"/>
      <c r="BL12" s="43"/>
      <c r="BM12" s="43"/>
      <c r="BN12" s="43"/>
      <c r="BO12" s="46"/>
      <c r="BP12" s="42"/>
      <c r="BQ12" s="12">
        <f t="shared" si="16"/>
        <v>0</v>
      </c>
      <c r="BR12" s="13">
        <f t="shared" si="17"/>
        <v>0</v>
      </c>
    </row>
    <row r="13" spans="1:72" s="14" customFormat="1" ht="21" customHeight="1">
      <c r="A13" s="7"/>
      <c r="B13" s="8"/>
      <c r="C13" s="9"/>
      <c r="D13" s="18"/>
      <c r="E13" s="11">
        <f t="shared" si="15"/>
        <v>0</v>
      </c>
      <c r="F13" s="34"/>
      <c r="G13" s="35"/>
      <c r="H13" s="35"/>
      <c r="I13" s="35"/>
      <c r="J13" s="35"/>
      <c r="K13" s="36"/>
      <c r="L13" s="35"/>
      <c r="M13" s="35"/>
      <c r="N13" s="35"/>
      <c r="O13" s="35"/>
      <c r="P13" s="36"/>
      <c r="Q13" s="35"/>
      <c r="R13" s="35"/>
      <c r="S13" s="35"/>
      <c r="T13" s="35"/>
      <c r="U13" s="37"/>
      <c r="V13" s="38"/>
      <c r="W13" s="35"/>
      <c r="X13" s="39"/>
      <c r="Y13" s="39"/>
      <c r="Z13" s="37"/>
      <c r="AA13" s="34"/>
      <c r="AB13" s="35"/>
      <c r="AC13" s="35"/>
      <c r="AD13" s="35"/>
      <c r="AE13" s="37"/>
      <c r="AF13" s="35"/>
      <c r="AG13" s="35"/>
      <c r="AH13" s="35"/>
      <c r="AI13" s="35"/>
      <c r="AJ13" s="40"/>
      <c r="AK13" s="35"/>
      <c r="AL13" s="35"/>
      <c r="AM13" s="35"/>
      <c r="AN13" s="35"/>
      <c r="AO13" s="40"/>
      <c r="AP13" s="36"/>
      <c r="AQ13" s="35"/>
      <c r="AR13" s="35"/>
      <c r="AS13" s="35"/>
      <c r="AT13" s="35"/>
      <c r="AU13" s="37"/>
      <c r="AV13" s="38"/>
      <c r="AW13" s="35"/>
      <c r="AX13" s="39"/>
      <c r="AY13" s="39"/>
      <c r="AZ13" s="37"/>
      <c r="BA13" s="38"/>
      <c r="BB13" s="35"/>
      <c r="BC13" s="39"/>
      <c r="BD13" s="39"/>
      <c r="BE13" s="37"/>
      <c r="BF13" s="36"/>
      <c r="BG13" s="35"/>
      <c r="BH13" s="35"/>
      <c r="BI13" s="35"/>
      <c r="BJ13" s="35"/>
      <c r="BK13" s="37"/>
      <c r="BL13" s="35"/>
      <c r="BM13" s="43"/>
      <c r="BN13" s="43"/>
      <c r="BO13" s="41"/>
      <c r="BP13" s="34"/>
      <c r="BQ13" s="12">
        <f t="shared" si="16"/>
        <v>0</v>
      </c>
      <c r="BR13" s="13">
        <f t="shared" si="17"/>
        <v>0</v>
      </c>
    </row>
    <row r="14" spans="1:72" s="14" customFormat="1" ht="21" customHeight="1">
      <c r="A14" s="25"/>
      <c r="B14" s="8"/>
      <c r="C14" s="9"/>
      <c r="D14" s="10"/>
      <c r="E14" s="11">
        <f t="shared" si="15"/>
        <v>0</v>
      </c>
      <c r="F14" s="34"/>
      <c r="G14" s="35"/>
      <c r="H14" s="35"/>
      <c r="I14" s="35"/>
      <c r="J14" s="35"/>
      <c r="K14" s="36"/>
      <c r="L14" s="35"/>
      <c r="M14" s="35"/>
      <c r="N14" s="35"/>
      <c r="O14" s="35"/>
      <c r="P14" s="36"/>
      <c r="Q14" s="35"/>
      <c r="R14" s="35"/>
      <c r="S14" s="35"/>
      <c r="T14" s="35"/>
      <c r="U14" s="37"/>
      <c r="V14" s="38"/>
      <c r="W14" s="35"/>
      <c r="X14" s="39"/>
      <c r="Y14" s="39"/>
      <c r="Z14" s="37"/>
      <c r="AA14" s="48"/>
      <c r="AB14" s="49"/>
      <c r="AC14" s="49"/>
      <c r="AD14" s="49"/>
      <c r="AE14" s="50"/>
      <c r="AF14" s="49"/>
      <c r="AG14" s="49"/>
      <c r="AH14" s="49"/>
      <c r="AI14" s="49"/>
      <c r="AJ14" s="51"/>
      <c r="AK14" s="49"/>
      <c r="AL14" s="49"/>
      <c r="AM14" s="49"/>
      <c r="AN14" s="49"/>
      <c r="AO14" s="51"/>
      <c r="AP14" s="36"/>
      <c r="AQ14" s="35"/>
      <c r="AR14" s="35"/>
      <c r="AS14" s="35"/>
      <c r="AT14" s="35"/>
      <c r="AU14" s="37"/>
      <c r="AV14" s="38"/>
      <c r="AW14" s="35"/>
      <c r="AX14" s="39"/>
      <c r="AY14" s="39"/>
      <c r="AZ14" s="37"/>
      <c r="BA14" s="38"/>
      <c r="BB14" s="35"/>
      <c r="BC14" s="39"/>
      <c r="BD14" s="39"/>
      <c r="BE14" s="37"/>
      <c r="BF14" s="36"/>
      <c r="BG14" s="35"/>
      <c r="BH14" s="35"/>
      <c r="BI14" s="35"/>
      <c r="BJ14" s="35"/>
      <c r="BK14" s="37"/>
      <c r="BL14" s="49"/>
      <c r="BM14" s="49"/>
      <c r="BN14" s="49"/>
      <c r="BO14" s="52"/>
      <c r="BP14" s="48"/>
      <c r="BQ14" s="12">
        <f t="shared" si="16"/>
        <v>0</v>
      </c>
      <c r="BR14" s="13">
        <f t="shared" si="17"/>
        <v>0</v>
      </c>
    </row>
    <row r="15" spans="1:72" s="14" customFormat="1" ht="21" customHeight="1">
      <c r="A15" s="7"/>
      <c r="B15" s="8"/>
      <c r="C15" s="9"/>
      <c r="D15" s="10"/>
      <c r="E15" s="11">
        <f t="shared" si="15"/>
        <v>0</v>
      </c>
      <c r="F15" s="34"/>
      <c r="G15" s="35"/>
      <c r="H15" s="35"/>
      <c r="I15" s="35"/>
      <c r="J15" s="35"/>
      <c r="K15" s="36"/>
      <c r="L15" s="35"/>
      <c r="M15" s="35"/>
      <c r="N15" s="35"/>
      <c r="O15" s="35"/>
      <c r="P15" s="36"/>
      <c r="Q15" s="35"/>
      <c r="R15" s="35"/>
      <c r="S15" s="35"/>
      <c r="T15" s="35"/>
      <c r="U15" s="37"/>
      <c r="V15" s="38"/>
      <c r="W15" s="35"/>
      <c r="X15" s="39"/>
      <c r="Y15" s="39"/>
      <c r="Z15" s="37"/>
      <c r="AA15" s="34"/>
      <c r="AB15" s="35"/>
      <c r="AC15" s="35"/>
      <c r="AD15" s="35"/>
      <c r="AE15" s="37"/>
      <c r="AF15" s="35"/>
      <c r="AG15" s="35"/>
      <c r="AH15" s="35"/>
      <c r="AI15" s="35"/>
      <c r="AJ15" s="40"/>
      <c r="AK15" s="35"/>
      <c r="AL15" s="35"/>
      <c r="AM15" s="35"/>
      <c r="AN15" s="35"/>
      <c r="AO15" s="40"/>
      <c r="AP15" s="36"/>
      <c r="AQ15" s="35"/>
      <c r="AR15" s="35"/>
      <c r="AS15" s="35"/>
      <c r="AT15" s="35"/>
      <c r="AU15" s="37"/>
      <c r="AV15" s="38"/>
      <c r="AW15" s="35"/>
      <c r="AX15" s="39"/>
      <c r="AY15" s="39"/>
      <c r="AZ15" s="37"/>
      <c r="BA15" s="38"/>
      <c r="BB15" s="35"/>
      <c r="BC15" s="39"/>
      <c r="BD15" s="39"/>
      <c r="BE15" s="37"/>
      <c r="BF15" s="36"/>
      <c r="BG15" s="35"/>
      <c r="BH15" s="35"/>
      <c r="BI15" s="35"/>
      <c r="BJ15" s="35"/>
      <c r="BK15" s="37"/>
      <c r="BL15" s="35"/>
      <c r="BM15" s="35"/>
      <c r="BN15" s="35"/>
      <c r="BO15" s="41"/>
      <c r="BP15" s="34"/>
      <c r="BQ15" s="12">
        <f t="shared" si="16"/>
        <v>0</v>
      </c>
      <c r="BR15" s="13">
        <f t="shared" si="17"/>
        <v>0</v>
      </c>
    </row>
    <row r="16" spans="1:72" s="14" customFormat="1" ht="21" customHeight="1">
      <c r="A16" s="7"/>
      <c r="B16" s="8"/>
      <c r="C16" s="9"/>
      <c r="D16" s="10"/>
      <c r="E16" s="11">
        <f t="shared" si="15"/>
        <v>0</v>
      </c>
      <c r="F16" s="34"/>
      <c r="G16" s="35"/>
      <c r="H16" s="35"/>
      <c r="I16" s="35"/>
      <c r="J16" s="35"/>
      <c r="K16" s="36"/>
      <c r="L16" s="35"/>
      <c r="M16" s="35"/>
      <c r="N16" s="35"/>
      <c r="O16" s="35"/>
      <c r="P16" s="36"/>
      <c r="Q16" s="35"/>
      <c r="R16" s="35"/>
      <c r="S16" s="35"/>
      <c r="T16" s="35"/>
      <c r="U16" s="37"/>
      <c r="V16" s="38"/>
      <c r="W16" s="35"/>
      <c r="X16" s="39"/>
      <c r="Y16" s="39"/>
      <c r="Z16" s="37"/>
      <c r="AA16" s="34"/>
      <c r="AB16" s="35"/>
      <c r="AC16" s="35"/>
      <c r="AD16" s="35"/>
      <c r="AE16" s="37"/>
      <c r="AF16" s="35"/>
      <c r="AG16" s="35"/>
      <c r="AH16" s="35"/>
      <c r="AI16" s="35"/>
      <c r="AJ16" s="40"/>
      <c r="AK16" s="35"/>
      <c r="AL16" s="35"/>
      <c r="AM16" s="35"/>
      <c r="AN16" s="35"/>
      <c r="AO16" s="40"/>
      <c r="AP16" s="36"/>
      <c r="AQ16" s="35"/>
      <c r="AR16" s="35"/>
      <c r="AS16" s="35"/>
      <c r="AT16" s="35"/>
      <c r="AU16" s="37"/>
      <c r="AV16" s="38"/>
      <c r="AW16" s="35"/>
      <c r="AX16" s="39"/>
      <c r="AY16" s="39"/>
      <c r="AZ16" s="37"/>
      <c r="BA16" s="38"/>
      <c r="BB16" s="35"/>
      <c r="BC16" s="39"/>
      <c r="BD16" s="39"/>
      <c r="BE16" s="37"/>
      <c r="BF16" s="36"/>
      <c r="BG16" s="35"/>
      <c r="BH16" s="35"/>
      <c r="BI16" s="35"/>
      <c r="BJ16" s="35"/>
      <c r="BK16" s="37"/>
      <c r="BL16" s="35"/>
      <c r="BM16" s="35"/>
      <c r="BN16" s="35"/>
      <c r="BO16" s="41"/>
      <c r="BP16" s="34"/>
      <c r="BQ16" s="12">
        <f t="shared" si="16"/>
        <v>0</v>
      </c>
      <c r="BR16" s="13">
        <f t="shared" si="17"/>
        <v>0</v>
      </c>
    </row>
    <row r="17" spans="1:72" s="17" customFormat="1" ht="21" customHeight="1">
      <c r="A17" s="7"/>
      <c r="B17" s="8"/>
      <c r="C17" s="19"/>
      <c r="D17" s="21"/>
      <c r="E17" s="11">
        <f t="shared" si="15"/>
        <v>0</v>
      </c>
      <c r="F17" s="34"/>
      <c r="G17" s="35"/>
      <c r="H17" s="35"/>
      <c r="I17" s="35"/>
      <c r="J17" s="35"/>
      <c r="K17" s="36"/>
      <c r="L17" s="35"/>
      <c r="M17" s="35"/>
      <c r="N17" s="35"/>
      <c r="O17" s="35"/>
      <c r="P17" s="36"/>
      <c r="Q17" s="35"/>
      <c r="R17" s="35"/>
      <c r="S17" s="35"/>
      <c r="T17" s="35"/>
      <c r="U17" s="37"/>
      <c r="V17" s="38"/>
      <c r="W17" s="35"/>
      <c r="X17" s="39"/>
      <c r="Y17" s="39"/>
      <c r="Z17" s="37"/>
      <c r="AA17" s="34"/>
      <c r="AB17" s="35"/>
      <c r="AC17" s="35"/>
      <c r="AD17" s="35"/>
      <c r="AE17" s="37"/>
      <c r="AF17" s="35"/>
      <c r="AG17" s="35"/>
      <c r="AH17" s="35"/>
      <c r="AI17" s="35"/>
      <c r="AJ17" s="40"/>
      <c r="AK17" s="35"/>
      <c r="AL17" s="35"/>
      <c r="AM17" s="35"/>
      <c r="AN17" s="35"/>
      <c r="AO17" s="40"/>
      <c r="AP17" s="36"/>
      <c r="AQ17" s="35"/>
      <c r="AR17" s="35"/>
      <c r="AS17" s="35"/>
      <c r="AT17" s="35"/>
      <c r="AU17" s="37"/>
      <c r="AV17" s="38"/>
      <c r="AW17" s="35"/>
      <c r="AX17" s="39"/>
      <c r="AY17" s="39"/>
      <c r="AZ17" s="37"/>
      <c r="BA17" s="38"/>
      <c r="BB17" s="35"/>
      <c r="BC17" s="39"/>
      <c r="BD17" s="39"/>
      <c r="BE17" s="37"/>
      <c r="BF17" s="36"/>
      <c r="BG17" s="35"/>
      <c r="BH17" s="35"/>
      <c r="BI17" s="35"/>
      <c r="BJ17" s="35"/>
      <c r="BK17" s="37"/>
      <c r="BL17" s="35"/>
      <c r="BM17" s="35"/>
      <c r="BN17" s="35"/>
      <c r="BO17" s="41"/>
      <c r="BP17" s="42"/>
      <c r="BQ17" s="12">
        <f t="shared" si="16"/>
        <v>0</v>
      </c>
      <c r="BR17" s="13">
        <f t="shared" si="17"/>
        <v>0</v>
      </c>
    </row>
    <row r="18" spans="1:72" s="17" customFormat="1" ht="21" customHeight="1">
      <c r="A18" s="25"/>
      <c r="B18" s="8"/>
      <c r="C18" s="9"/>
      <c r="D18" s="10"/>
      <c r="E18" s="11">
        <f t="shared" si="15"/>
        <v>0</v>
      </c>
      <c r="F18" s="34"/>
      <c r="G18" s="35"/>
      <c r="H18" s="35"/>
      <c r="I18" s="35"/>
      <c r="J18" s="35"/>
      <c r="K18" s="36"/>
      <c r="L18" s="35"/>
      <c r="M18" s="35"/>
      <c r="N18" s="35"/>
      <c r="O18" s="35"/>
      <c r="P18" s="36"/>
      <c r="Q18" s="35"/>
      <c r="R18" s="35"/>
      <c r="S18" s="35"/>
      <c r="T18" s="35"/>
      <c r="U18" s="37"/>
      <c r="V18" s="38"/>
      <c r="W18" s="35"/>
      <c r="X18" s="39"/>
      <c r="Y18" s="39"/>
      <c r="Z18" s="37"/>
      <c r="AA18" s="34"/>
      <c r="AB18" s="35"/>
      <c r="AC18" s="35"/>
      <c r="AD18" s="35"/>
      <c r="AE18" s="37"/>
      <c r="AF18" s="35"/>
      <c r="AG18" s="35"/>
      <c r="AH18" s="35"/>
      <c r="AI18" s="35"/>
      <c r="AJ18" s="40"/>
      <c r="AK18" s="35"/>
      <c r="AL18" s="35"/>
      <c r="AM18" s="35"/>
      <c r="AN18" s="35"/>
      <c r="AO18" s="40"/>
      <c r="AP18" s="36"/>
      <c r="AQ18" s="35"/>
      <c r="AR18" s="35"/>
      <c r="AS18" s="35"/>
      <c r="AT18" s="35"/>
      <c r="AU18" s="37"/>
      <c r="AV18" s="38"/>
      <c r="AW18" s="35"/>
      <c r="AX18" s="39"/>
      <c r="AY18" s="39"/>
      <c r="AZ18" s="37"/>
      <c r="BA18" s="38"/>
      <c r="BB18" s="35"/>
      <c r="BC18" s="39"/>
      <c r="BD18" s="39"/>
      <c r="BE18" s="37"/>
      <c r="BF18" s="36"/>
      <c r="BG18" s="35"/>
      <c r="BH18" s="35"/>
      <c r="BI18" s="35"/>
      <c r="BJ18" s="35"/>
      <c r="BK18" s="37"/>
      <c r="BL18" s="35"/>
      <c r="BM18" s="35"/>
      <c r="BN18" s="35"/>
      <c r="BO18" s="41"/>
      <c r="BP18" s="34"/>
      <c r="BQ18" s="12">
        <f t="shared" si="16"/>
        <v>0</v>
      </c>
      <c r="BR18" s="13">
        <f t="shared" si="17"/>
        <v>0</v>
      </c>
    </row>
    <row r="19" spans="1:72" s="4" customFormat="1" ht="21" customHeight="1">
      <c r="A19" s="25"/>
      <c r="B19" s="8"/>
      <c r="C19" s="9"/>
      <c r="D19" s="10"/>
      <c r="E19" s="11">
        <f t="shared" si="15"/>
        <v>0</v>
      </c>
      <c r="F19" s="34"/>
      <c r="G19" s="35"/>
      <c r="H19" s="35"/>
      <c r="I19" s="35"/>
      <c r="J19" s="35"/>
      <c r="K19" s="36"/>
      <c r="L19" s="35"/>
      <c r="M19" s="35"/>
      <c r="N19" s="35"/>
      <c r="O19" s="35"/>
      <c r="P19" s="36"/>
      <c r="Q19" s="35"/>
      <c r="R19" s="35"/>
      <c r="S19" s="35"/>
      <c r="T19" s="35"/>
      <c r="U19" s="37"/>
      <c r="V19" s="38"/>
      <c r="W19" s="35"/>
      <c r="X19" s="39"/>
      <c r="Y19" s="39"/>
      <c r="Z19" s="37"/>
      <c r="AA19" s="34"/>
      <c r="AB19" s="35"/>
      <c r="AC19" s="35"/>
      <c r="AD19" s="35"/>
      <c r="AE19" s="37"/>
      <c r="AF19" s="43"/>
      <c r="AG19" s="43"/>
      <c r="AH19" s="35"/>
      <c r="AI19" s="35"/>
      <c r="AJ19" s="40"/>
      <c r="AK19" s="35"/>
      <c r="AL19" s="35"/>
      <c r="AM19" s="35"/>
      <c r="AN19" s="35"/>
      <c r="AO19" s="40"/>
      <c r="AP19" s="36"/>
      <c r="AQ19" s="35"/>
      <c r="AR19" s="35"/>
      <c r="AS19" s="35"/>
      <c r="AT19" s="35"/>
      <c r="AU19" s="37"/>
      <c r="AV19" s="38"/>
      <c r="AW19" s="35"/>
      <c r="AX19" s="39"/>
      <c r="AY19" s="39"/>
      <c r="AZ19" s="37"/>
      <c r="BA19" s="38"/>
      <c r="BB19" s="35"/>
      <c r="BC19" s="39"/>
      <c r="BD19" s="39"/>
      <c r="BE19" s="37"/>
      <c r="BF19" s="36"/>
      <c r="BG19" s="35"/>
      <c r="BH19" s="35"/>
      <c r="BI19" s="35"/>
      <c r="BJ19" s="35"/>
      <c r="BK19" s="37"/>
      <c r="BL19" s="35"/>
      <c r="BM19" s="35"/>
      <c r="BN19" s="35"/>
      <c r="BO19" s="41"/>
      <c r="BP19" s="34"/>
      <c r="BQ19" s="12">
        <f t="shared" si="16"/>
        <v>0</v>
      </c>
      <c r="BR19" s="13">
        <f t="shared" si="17"/>
        <v>0</v>
      </c>
    </row>
    <row r="20" spans="1:72" s="14" customFormat="1" ht="21" customHeight="1">
      <c r="A20" s="7"/>
      <c r="B20" s="8"/>
      <c r="C20" s="9"/>
      <c r="D20" s="8"/>
      <c r="E20" s="11">
        <f t="shared" si="15"/>
        <v>0</v>
      </c>
      <c r="F20" s="34"/>
      <c r="G20" s="35"/>
      <c r="H20" s="35"/>
      <c r="I20" s="35"/>
      <c r="J20" s="35"/>
      <c r="K20" s="36"/>
      <c r="L20" s="35"/>
      <c r="M20" s="35"/>
      <c r="N20" s="35"/>
      <c r="O20" s="35"/>
      <c r="P20" s="36"/>
      <c r="Q20" s="35"/>
      <c r="R20" s="43"/>
      <c r="S20" s="43"/>
      <c r="T20" s="43"/>
      <c r="U20" s="44"/>
      <c r="V20" s="38"/>
      <c r="W20" s="35"/>
      <c r="X20" s="39"/>
      <c r="Y20" s="39"/>
      <c r="Z20" s="37"/>
      <c r="AA20" s="42"/>
      <c r="AB20" s="35"/>
      <c r="AC20" s="35"/>
      <c r="AD20" s="35"/>
      <c r="AE20" s="37"/>
      <c r="AF20" s="35"/>
      <c r="AG20" s="35"/>
      <c r="AH20" s="35"/>
      <c r="AI20" s="35"/>
      <c r="AJ20" s="40"/>
      <c r="AK20" s="35"/>
      <c r="AL20" s="35"/>
      <c r="AM20" s="35"/>
      <c r="AN20" s="35"/>
      <c r="AO20" s="40"/>
      <c r="AP20" s="36"/>
      <c r="AQ20" s="35"/>
      <c r="AR20" s="43"/>
      <c r="AS20" s="43"/>
      <c r="AT20" s="43"/>
      <c r="AU20" s="44"/>
      <c r="AV20" s="38"/>
      <c r="AW20" s="35"/>
      <c r="AX20" s="39"/>
      <c r="AY20" s="39"/>
      <c r="AZ20" s="37"/>
      <c r="BA20" s="38"/>
      <c r="BB20" s="35"/>
      <c r="BC20" s="39"/>
      <c r="BD20" s="39"/>
      <c r="BE20" s="37"/>
      <c r="BF20" s="36"/>
      <c r="BG20" s="35"/>
      <c r="BH20" s="43"/>
      <c r="BI20" s="43"/>
      <c r="BJ20" s="43"/>
      <c r="BK20" s="44"/>
      <c r="BL20" s="35"/>
      <c r="BM20" s="35"/>
      <c r="BN20" s="35"/>
      <c r="BO20" s="46"/>
      <c r="BP20" s="42"/>
      <c r="BQ20" s="12">
        <f t="shared" si="16"/>
        <v>0</v>
      </c>
      <c r="BR20" s="13">
        <f t="shared" si="17"/>
        <v>0</v>
      </c>
    </row>
    <row r="21" spans="1:72" s="14" customFormat="1" ht="21" customHeight="1">
      <c r="A21" s="7"/>
      <c r="B21" s="8"/>
      <c r="C21" s="9"/>
      <c r="D21" s="10"/>
      <c r="E21" s="11">
        <f t="shared" si="15"/>
        <v>0</v>
      </c>
      <c r="F21" s="34"/>
      <c r="G21" s="35"/>
      <c r="H21" s="35"/>
      <c r="I21" s="35"/>
      <c r="J21" s="35"/>
      <c r="K21" s="36"/>
      <c r="L21" s="35"/>
      <c r="M21" s="35"/>
      <c r="N21" s="35"/>
      <c r="O21" s="35"/>
      <c r="P21" s="36"/>
      <c r="Q21" s="35"/>
      <c r="R21" s="35"/>
      <c r="S21" s="35"/>
      <c r="T21" s="35"/>
      <c r="U21" s="37"/>
      <c r="V21" s="38"/>
      <c r="W21" s="35"/>
      <c r="X21" s="39"/>
      <c r="Y21" s="39"/>
      <c r="Z21" s="37"/>
      <c r="AA21" s="34"/>
      <c r="AB21" s="35"/>
      <c r="AC21" s="35"/>
      <c r="AD21" s="35"/>
      <c r="AE21" s="37"/>
      <c r="AF21" s="35"/>
      <c r="AG21" s="35"/>
      <c r="AH21" s="35"/>
      <c r="AI21" s="35"/>
      <c r="AJ21" s="40"/>
      <c r="AK21" s="35"/>
      <c r="AL21" s="35"/>
      <c r="AM21" s="35"/>
      <c r="AN21" s="35"/>
      <c r="AO21" s="40"/>
      <c r="AP21" s="36"/>
      <c r="AQ21" s="35"/>
      <c r="AR21" s="35"/>
      <c r="AS21" s="35"/>
      <c r="AT21" s="35"/>
      <c r="AU21" s="37"/>
      <c r="AV21" s="38"/>
      <c r="AW21" s="35"/>
      <c r="AX21" s="39"/>
      <c r="AY21" s="39"/>
      <c r="AZ21" s="37"/>
      <c r="BA21" s="38"/>
      <c r="BB21" s="35"/>
      <c r="BC21" s="39"/>
      <c r="BD21" s="39"/>
      <c r="BE21" s="37"/>
      <c r="BF21" s="36"/>
      <c r="BG21" s="35"/>
      <c r="BH21" s="35"/>
      <c r="BI21" s="35"/>
      <c r="BJ21" s="35"/>
      <c r="BK21" s="37"/>
      <c r="BL21" s="35"/>
      <c r="BM21" s="35"/>
      <c r="BN21" s="35"/>
      <c r="BO21" s="41"/>
      <c r="BP21" s="34"/>
      <c r="BQ21" s="12">
        <f t="shared" si="16"/>
        <v>0</v>
      </c>
      <c r="BR21" s="13">
        <f t="shared" si="17"/>
        <v>0</v>
      </c>
      <c r="BT21" s="14" t="s">
        <v>72</v>
      </c>
    </row>
    <row r="22" spans="1:72" s="4" customFormat="1" ht="21" customHeight="1">
      <c r="A22" s="7"/>
      <c r="B22" s="8"/>
      <c r="C22" s="9"/>
      <c r="D22" s="18"/>
      <c r="E22" s="11">
        <f t="shared" si="15"/>
        <v>0</v>
      </c>
      <c r="F22" s="34"/>
      <c r="G22" s="35"/>
      <c r="H22" s="35"/>
      <c r="I22" s="35"/>
      <c r="J22" s="35"/>
      <c r="K22" s="36"/>
      <c r="L22" s="35"/>
      <c r="M22" s="35"/>
      <c r="N22" s="35"/>
      <c r="O22" s="35"/>
      <c r="P22" s="36"/>
      <c r="Q22" s="35"/>
      <c r="R22" s="35"/>
      <c r="S22" s="35"/>
      <c r="T22" s="35"/>
      <c r="U22" s="37"/>
      <c r="V22" s="38"/>
      <c r="W22" s="35"/>
      <c r="X22" s="39"/>
      <c r="Y22" s="39"/>
      <c r="Z22" s="37"/>
      <c r="AA22" s="34"/>
      <c r="AB22" s="35"/>
      <c r="AC22" s="35"/>
      <c r="AD22" s="35"/>
      <c r="AE22" s="37"/>
      <c r="AF22" s="35"/>
      <c r="AG22" s="35"/>
      <c r="AH22" s="35"/>
      <c r="AI22" s="35"/>
      <c r="AJ22" s="40"/>
      <c r="AK22" s="35"/>
      <c r="AL22" s="35"/>
      <c r="AM22" s="35"/>
      <c r="AN22" s="35"/>
      <c r="AO22" s="40"/>
      <c r="AP22" s="36"/>
      <c r="AQ22" s="35"/>
      <c r="AR22" s="35"/>
      <c r="AS22" s="35"/>
      <c r="AT22" s="35"/>
      <c r="AU22" s="37"/>
      <c r="AV22" s="38"/>
      <c r="AW22" s="35"/>
      <c r="AX22" s="39"/>
      <c r="AY22" s="39"/>
      <c r="AZ22" s="37"/>
      <c r="BA22" s="38"/>
      <c r="BB22" s="35"/>
      <c r="BC22" s="39"/>
      <c r="BD22" s="39"/>
      <c r="BE22" s="37"/>
      <c r="BF22" s="36"/>
      <c r="BG22" s="35"/>
      <c r="BH22" s="35"/>
      <c r="BI22" s="35"/>
      <c r="BJ22" s="35"/>
      <c r="BK22" s="37"/>
      <c r="BL22" s="35"/>
      <c r="BM22" s="35"/>
      <c r="BN22" s="35"/>
      <c r="BO22" s="41"/>
      <c r="BP22" s="34"/>
      <c r="BQ22" s="12">
        <f t="shared" si="16"/>
        <v>0</v>
      </c>
      <c r="BR22" s="13">
        <f t="shared" si="17"/>
        <v>0</v>
      </c>
    </row>
    <row r="23" spans="1:72" ht="21" customHeight="1">
      <c r="A23" s="7"/>
      <c r="B23" s="8"/>
      <c r="C23" s="19"/>
      <c r="D23" s="20"/>
      <c r="E23" s="11">
        <f t="shared" si="15"/>
        <v>0</v>
      </c>
      <c r="F23" s="34"/>
      <c r="G23" s="35"/>
      <c r="H23" s="35"/>
      <c r="I23" s="35"/>
      <c r="J23" s="35"/>
      <c r="K23" s="36"/>
      <c r="L23" s="35"/>
      <c r="M23" s="35"/>
      <c r="N23" s="35"/>
      <c r="O23" s="35"/>
      <c r="P23" s="36"/>
      <c r="Q23" s="35"/>
      <c r="R23" s="35"/>
      <c r="S23" s="35"/>
      <c r="T23" s="35"/>
      <c r="U23" s="37"/>
      <c r="V23" s="38"/>
      <c r="W23" s="35"/>
      <c r="X23" s="39"/>
      <c r="Y23" s="39"/>
      <c r="Z23" s="37"/>
      <c r="AA23" s="34"/>
      <c r="AB23" s="35"/>
      <c r="AC23" s="35"/>
      <c r="AD23" s="35"/>
      <c r="AE23" s="37"/>
      <c r="AF23" s="35"/>
      <c r="AG23" s="35"/>
      <c r="AH23" s="35"/>
      <c r="AI23" s="35"/>
      <c r="AJ23" s="40"/>
      <c r="AK23" s="35"/>
      <c r="AL23" s="35"/>
      <c r="AM23" s="35"/>
      <c r="AN23" s="35"/>
      <c r="AO23" s="40"/>
      <c r="AP23" s="36"/>
      <c r="AQ23" s="35"/>
      <c r="AR23" s="35"/>
      <c r="AS23" s="35"/>
      <c r="AT23" s="35"/>
      <c r="AU23" s="37"/>
      <c r="AV23" s="38"/>
      <c r="AW23" s="35"/>
      <c r="AX23" s="39"/>
      <c r="AY23" s="39"/>
      <c r="AZ23" s="37"/>
      <c r="BA23" s="38"/>
      <c r="BB23" s="35"/>
      <c r="BC23" s="39"/>
      <c r="BD23" s="39"/>
      <c r="BE23" s="37"/>
      <c r="BF23" s="36"/>
      <c r="BG23" s="35"/>
      <c r="BH23" s="35"/>
      <c r="BI23" s="35"/>
      <c r="BJ23" s="35"/>
      <c r="BK23" s="37"/>
      <c r="BL23" s="35"/>
      <c r="BM23" s="35"/>
      <c r="BN23" s="35"/>
      <c r="BO23" s="41"/>
      <c r="BP23" s="34"/>
      <c r="BQ23" s="12">
        <f t="shared" si="16"/>
        <v>0</v>
      </c>
      <c r="BR23" s="13">
        <f t="shared" si="17"/>
        <v>0</v>
      </c>
    </row>
    <row r="24" spans="1:72" s="14" customFormat="1" ht="21" customHeight="1">
      <c r="A24" s="7"/>
      <c r="B24" s="8"/>
      <c r="C24" s="19"/>
      <c r="D24" s="21"/>
      <c r="E24" s="11">
        <f t="shared" si="15"/>
        <v>0</v>
      </c>
      <c r="F24" s="34"/>
      <c r="G24" s="35"/>
      <c r="H24" s="35"/>
      <c r="I24" s="35"/>
      <c r="J24" s="35"/>
      <c r="K24" s="36"/>
      <c r="L24" s="35"/>
      <c r="M24" s="35"/>
      <c r="N24" s="35"/>
      <c r="O24" s="35"/>
      <c r="P24" s="36"/>
      <c r="Q24" s="35"/>
      <c r="R24" s="35"/>
      <c r="S24" s="35"/>
      <c r="T24" s="35"/>
      <c r="U24" s="37"/>
      <c r="V24" s="38"/>
      <c r="W24" s="35"/>
      <c r="X24" s="39"/>
      <c r="Y24" s="39"/>
      <c r="Z24" s="37"/>
      <c r="AA24" s="34"/>
      <c r="AB24" s="35"/>
      <c r="AC24" s="35"/>
      <c r="AD24" s="35"/>
      <c r="AE24" s="37"/>
      <c r="AF24" s="35"/>
      <c r="AG24" s="35"/>
      <c r="AH24" s="35"/>
      <c r="AI24" s="35"/>
      <c r="AJ24" s="40"/>
      <c r="AK24" s="35"/>
      <c r="AL24" s="35"/>
      <c r="AM24" s="35"/>
      <c r="AN24" s="35"/>
      <c r="AO24" s="40"/>
      <c r="AP24" s="36"/>
      <c r="AQ24" s="35"/>
      <c r="AR24" s="35"/>
      <c r="AS24" s="35"/>
      <c r="AT24" s="35"/>
      <c r="AU24" s="37"/>
      <c r="AV24" s="38"/>
      <c r="AW24" s="35"/>
      <c r="AX24" s="39"/>
      <c r="AY24" s="39"/>
      <c r="AZ24" s="37"/>
      <c r="BA24" s="38"/>
      <c r="BB24" s="35"/>
      <c r="BC24" s="39"/>
      <c r="BD24" s="39"/>
      <c r="BE24" s="37"/>
      <c r="BF24" s="36"/>
      <c r="BG24" s="35"/>
      <c r="BH24" s="35"/>
      <c r="BI24" s="35"/>
      <c r="BJ24" s="35"/>
      <c r="BK24" s="37"/>
      <c r="BL24" s="35"/>
      <c r="BM24" s="35"/>
      <c r="BN24" s="35"/>
      <c r="BO24" s="41"/>
      <c r="BP24" s="34"/>
      <c r="BQ24" s="12">
        <f t="shared" si="16"/>
        <v>0</v>
      </c>
      <c r="BR24" s="13">
        <f t="shared" si="17"/>
        <v>0</v>
      </c>
      <c r="BT24" s="14" t="s">
        <v>72</v>
      </c>
    </row>
    <row r="25" spans="1:72" s="4" customFormat="1" ht="21" customHeight="1">
      <c r="A25" s="7"/>
      <c r="B25" s="8"/>
      <c r="C25" s="19"/>
      <c r="D25" s="21"/>
      <c r="E25" s="11">
        <f t="shared" si="15"/>
        <v>0</v>
      </c>
      <c r="F25" s="34"/>
      <c r="G25" s="35"/>
      <c r="H25" s="35"/>
      <c r="I25" s="35"/>
      <c r="J25" s="35"/>
      <c r="K25" s="36"/>
      <c r="L25" s="35"/>
      <c r="M25" s="35"/>
      <c r="N25" s="35"/>
      <c r="O25" s="35"/>
      <c r="P25" s="36"/>
      <c r="Q25" s="35"/>
      <c r="R25" s="35"/>
      <c r="S25" s="35"/>
      <c r="T25" s="35"/>
      <c r="U25" s="37"/>
      <c r="V25" s="38"/>
      <c r="W25" s="35"/>
      <c r="X25" s="39"/>
      <c r="Y25" s="39"/>
      <c r="Z25" s="37"/>
      <c r="AA25" s="34"/>
      <c r="AB25" s="35"/>
      <c r="AC25" s="35"/>
      <c r="AD25" s="35"/>
      <c r="AE25" s="37"/>
      <c r="AF25" s="35"/>
      <c r="AG25" s="35"/>
      <c r="AH25" s="35"/>
      <c r="AI25" s="35"/>
      <c r="AJ25" s="40"/>
      <c r="AK25" s="35"/>
      <c r="AL25" s="35"/>
      <c r="AM25" s="35"/>
      <c r="AN25" s="35"/>
      <c r="AO25" s="40"/>
      <c r="AP25" s="36"/>
      <c r="AQ25" s="35"/>
      <c r="AR25" s="35"/>
      <c r="AS25" s="35"/>
      <c r="AT25" s="35"/>
      <c r="AU25" s="37"/>
      <c r="AV25" s="38"/>
      <c r="AW25" s="35"/>
      <c r="AX25" s="39"/>
      <c r="AY25" s="39"/>
      <c r="AZ25" s="37"/>
      <c r="BA25" s="38"/>
      <c r="BB25" s="35"/>
      <c r="BC25" s="39"/>
      <c r="BD25" s="39"/>
      <c r="BE25" s="37"/>
      <c r="BF25" s="36"/>
      <c r="BG25" s="35"/>
      <c r="BH25" s="35"/>
      <c r="BI25" s="35"/>
      <c r="BJ25" s="35"/>
      <c r="BK25" s="37"/>
      <c r="BL25" s="35"/>
      <c r="BM25" s="35"/>
      <c r="BN25" s="35"/>
      <c r="BO25" s="41"/>
      <c r="BP25" s="34"/>
      <c r="BQ25" s="12">
        <f t="shared" si="16"/>
        <v>0</v>
      </c>
      <c r="BR25" s="13">
        <f t="shared" si="17"/>
        <v>0</v>
      </c>
    </row>
    <row r="26" spans="1:72" ht="21" customHeight="1">
      <c r="A26" s="7"/>
      <c r="B26" s="8"/>
      <c r="C26" s="19"/>
      <c r="D26" s="20"/>
      <c r="E26" s="11">
        <f t="shared" si="15"/>
        <v>0</v>
      </c>
      <c r="F26" s="34"/>
      <c r="G26" s="35"/>
      <c r="H26" s="35"/>
      <c r="I26" s="35"/>
      <c r="J26" s="35"/>
      <c r="K26" s="36"/>
      <c r="L26" s="35"/>
      <c r="M26" s="35"/>
      <c r="N26" s="35"/>
      <c r="O26" s="35"/>
      <c r="P26" s="36"/>
      <c r="Q26" s="35"/>
      <c r="R26" s="35"/>
      <c r="S26" s="35"/>
      <c r="T26" s="35"/>
      <c r="U26" s="37"/>
      <c r="V26" s="38"/>
      <c r="W26" s="35"/>
      <c r="X26" s="39"/>
      <c r="Y26" s="39"/>
      <c r="Z26" s="37"/>
      <c r="AA26" s="34"/>
      <c r="AB26" s="35"/>
      <c r="AC26" s="35"/>
      <c r="AD26" s="35"/>
      <c r="AE26" s="37"/>
      <c r="AF26" s="35"/>
      <c r="AG26" s="35"/>
      <c r="AH26" s="35"/>
      <c r="AI26" s="35"/>
      <c r="AJ26" s="40"/>
      <c r="AK26" s="35"/>
      <c r="AL26" s="35"/>
      <c r="AM26" s="35"/>
      <c r="AN26" s="35"/>
      <c r="AO26" s="40"/>
      <c r="AP26" s="36"/>
      <c r="AQ26" s="35"/>
      <c r="AR26" s="35"/>
      <c r="AS26" s="35"/>
      <c r="AT26" s="35"/>
      <c r="AU26" s="37"/>
      <c r="AV26" s="38"/>
      <c r="AW26" s="35"/>
      <c r="AX26" s="39"/>
      <c r="AY26" s="39"/>
      <c r="AZ26" s="37"/>
      <c r="BA26" s="38"/>
      <c r="BB26" s="35"/>
      <c r="BC26" s="39"/>
      <c r="BD26" s="39"/>
      <c r="BE26" s="37"/>
      <c r="BF26" s="36"/>
      <c r="BG26" s="35"/>
      <c r="BH26" s="35"/>
      <c r="BI26" s="35"/>
      <c r="BJ26" s="35"/>
      <c r="BK26" s="37"/>
      <c r="BL26" s="35"/>
      <c r="BM26" s="35"/>
      <c r="BN26" s="35"/>
      <c r="BO26" s="41"/>
      <c r="BP26" s="34"/>
      <c r="BQ26" s="12">
        <f t="shared" si="16"/>
        <v>0</v>
      </c>
      <c r="BR26" s="13">
        <f t="shared" si="17"/>
        <v>0</v>
      </c>
    </row>
  </sheetData>
  <sheetProtection selectLockedCells="1" selectUnlockedCells="1"/>
  <mergeCells count="55">
    <mergeCell ref="AU7:AV7"/>
    <mergeCell ref="AZ7:BA7"/>
    <mergeCell ref="BE7:BF7"/>
    <mergeCell ref="BK7:BL7"/>
    <mergeCell ref="AZ6:BA6"/>
    <mergeCell ref="BE6:BF6"/>
    <mergeCell ref="BK6:BL6"/>
    <mergeCell ref="O7:P7"/>
    <mergeCell ref="U7:V7"/>
    <mergeCell ref="Z7:AA7"/>
    <mergeCell ref="AJ7:AK7"/>
    <mergeCell ref="AO7:AP7"/>
    <mergeCell ref="BL5:BQ5"/>
    <mergeCell ref="J6:K6"/>
    <mergeCell ref="O6:P6"/>
    <mergeCell ref="U6:V6"/>
    <mergeCell ref="Z6:AA6"/>
    <mergeCell ref="AJ6:AK6"/>
    <mergeCell ref="AO6:AP6"/>
    <mergeCell ref="AU6:AV6"/>
    <mergeCell ref="V5:Z5"/>
    <mergeCell ref="AA5:AE5"/>
    <mergeCell ref="AF5:AJ5"/>
    <mergeCell ref="AK5:AO5"/>
    <mergeCell ref="AP5:AU5"/>
    <mergeCell ref="AV5:AZ5"/>
    <mergeCell ref="BQ6:BQ7"/>
    <mergeCell ref="J7:K7"/>
    <mergeCell ref="AP4:AU4"/>
    <mergeCell ref="AV4:AZ4"/>
    <mergeCell ref="BA4:BE4"/>
    <mergeCell ref="BF4:BK4"/>
    <mergeCell ref="BA5:BE5"/>
    <mergeCell ref="BF5:BK5"/>
    <mergeCell ref="F5:J5"/>
    <mergeCell ref="K5:O5"/>
    <mergeCell ref="P5:U5"/>
    <mergeCell ref="AF4:AJ4"/>
    <mergeCell ref="AK4:AO4"/>
    <mergeCell ref="A1:BR1"/>
    <mergeCell ref="A2:BR2"/>
    <mergeCell ref="A3:BR3"/>
    <mergeCell ref="A4:A7"/>
    <mergeCell ref="B4:E4"/>
    <mergeCell ref="F4:J4"/>
    <mergeCell ref="K4:O4"/>
    <mergeCell ref="P4:U4"/>
    <mergeCell ref="V4:Z4"/>
    <mergeCell ref="AA4:AE4"/>
    <mergeCell ref="BL4:BQ4"/>
    <mergeCell ref="BR4:BR7"/>
    <mergeCell ref="B5:B7"/>
    <mergeCell ref="C5:C7"/>
    <mergeCell ref="D5:D7"/>
    <mergeCell ref="E5:E7"/>
  </mergeCells>
  <conditionalFormatting sqref="BR4:BR26">
    <cfRule type="cellIs" dxfId="2" priority="1" stopIfTrue="1" operator="lessThan">
      <formula>0</formula>
    </cfRule>
    <cfRule type="cellIs" dxfId="1" priority="2" stopIfTrue="1" operator="equal">
      <formula>0</formula>
    </cfRule>
    <cfRule type="cellIs" dxfId="0" priority="3" stopIfTrue="1" operator="greaterThan">
      <formula>0</formula>
    </cfRule>
  </conditionalFormatting>
  <printOptions horizontalCentered="1"/>
  <pageMargins left="0.25" right="0.25" top="0.75" bottom="0.75" header="0.3" footer="0.3"/>
  <pageSetup paperSize="9" scale="99" firstPageNumber="0" orientation="landscape" horizontalDpi="4294967294" verticalDpi="300" r:id="rId1"/>
  <headerFooter alignWithMargins="0">
    <oddFooter>&amp;LDatum:.................................&amp;Cvedoucí: .............................</oddFooter>
  </headerFooter>
  <colBreaks count="1" manualBreakCount="1">
    <brk id="7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10</vt:i4>
      </vt:variant>
      <vt:variant>
        <vt:lpstr>Pojmenované oblasti</vt:lpstr>
      </vt:variant>
      <vt:variant>
        <vt:i4>10</vt:i4>
      </vt:variant>
    </vt:vector>
  </HeadingPairs>
  <TitlesOfParts>
    <vt:vector size="20" baseType="lpstr">
      <vt:lpstr>DS</vt:lpstr>
      <vt:lpstr>TS+DOZP2</vt:lpstr>
      <vt:lpstr>CHB+DOZP4</vt:lpstr>
      <vt:lpstr>OS+DOZP1</vt:lpstr>
      <vt:lpstr>DOZP3</vt:lpstr>
      <vt:lpstr>ZDR</vt:lpstr>
      <vt:lpstr>THU</vt:lpstr>
      <vt:lpstr>EKO</vt:lpstr>
      <vt:lpstr>VED</vt:lpstr>
      <vt:lpstr>ŘED</vt:lpstr>
      <vt:lpstr>DOZP3!Názvy_tisku</vt:lpstr>
      <vt:lpstr>DS!Názvy_tisku</vt:lpstr>
      <vt:lpstr>EKO!Názvy_tisku</vt:lpstr>
      <vt:lpstr>'CHB+DOZP4'!Názvy_tisku</vt:lpstr>
      <vt:lpstr>'OS+DOZP1'!Názvy_tisku</vt:lpstr>
      <vt:lpstr>ŘED!Názvy_tisku</vt:lpstr>
      <vt:lpstr>THU!Názvy_tisku</vt:lpstr>
      <vt:lpstr>'TS+DOZP2'!Názvy_tisku</vt:lpstr>
      <vt:lpstr>VED!Názvy_tisku</vt:lpstr>
      <vt:lpstr>ZDR!Názvy_tisku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personalni</dc:creator>
  <cp:lastModifiedBy>Miloslav Falta</cp:lastModifiedBy>
  <cp:lastPrinted>2026-03-04T10:37:38Z</cp:lastPrinted>
  <dcterms:created xsi:type="dcterms:W3CDTF">2024-02-06T12:03:43Z</dcterms:created>
  <dcterms:modified xsi:type="dcterms:W3CDTF">2026-03-12T06:07:38Z</dcterms:modified>
</cp:coreProperties>
</file>